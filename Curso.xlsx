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cbc61c02823304/Área de Trabalho/"/>
    </mc:Choice>
  </mc:AlternateContent>
  <xr:revisionPtr revIDLastSave="312" documentId="8_{0F448241-093E-43CF-9BE3-02D5739AD2E6}" xr6:coauthVersionLast="47" xr6:coauthVersionMax="47" xr10:uidLastSave="{594F6A84-1D43-4B5D-A449-D131282C9C40}"/>
  <bookViews>
    <workbookView xWindow="22932" yWindow="-108" windowWidth="15576" windowHeight="9096" activeTab="2" xr2:uid="{7D4AABDD-0C3E-4DEF-9CB4-6AFE2CB95188}"/>
  </bookViews>
  <sheets>
    <sheet name="Fundamentos" sheetId="1" r:id="rId1"/>
    <sheet name="Condicionais" sheetId="2" r:id="rId2"/>
    <sheet name="Busca" sheetId="3" r:id="rId3"/>
  </sheets>
  <definedNames>
    <definedName name="_xlnm._FilterDatabase" localSheetId="0" hidden="1">Fundamentos!$A$1:$E$11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3" l="1"/>
  <c r="J2" i="3"/>
  <c r="D10" i="2"/>
  <c r="E10" i="2" s="1"/>
  <c r="H2" i="2" s="1"/>
  <c r="D9" i="2"/>
  <c r="E9" i="2" s="1"/>
  <c r="D8" i="2"/>
  <c r="E8" i="2" s="1"/>
  <c r="D7" i="2"/>
  <c r="E7" i="2" s="1"/>
  <c r="D2" i="2"/>
  <c r="E2" i="2" s="1"/>
  <c r="D3" i="2"/>
  <c r="E3" i="2" s="1"/>
  <c r="D4" i="2"/>
  <c r="E4" i="2" s="1"/>
  <c r="D5" i="2"/>
  <c r="E5" i="2" s="1"/>
  <c r="D6" i="2"/>
  <c r="E6" i="2" s="1"/>
  <c r="E11" i="1"/>
  <c r="D11" i="1"/>
  <c r="E10" i="1"/>
  <c r="E9" i="1"/>
  <c r="E8" i="1"/>
  <c r="E7" i="1"/>
  <c r="E6" i="1"/>
  <c r="E5" i="1"/>
  <c r="E4" i="1"/>
  <c r="E3" i="1"/>
  <c r="E2" i="1"/>
  <c r="C11" i="1"/>
  <c r="J4" i="3" l="1"/>
</calcChain>
</file>

<file path=xl/sharedStrings.xml><?xml version="1.0" encoding="utf-8"?>
<sst xmlns="http://schemas.openxmlformats.org/spreadsheetml/2006/main" count="60" uniqueCount="49">
  <si>
    <t>cod</t>
  </si>
  <si>
    <t>produto</t>
  </si>
  <si>
    <t>Preço</t>
  </si>
  <si>
    <t>Arroz</t>
  </si>
  <si>
    <t>Cuscuz</t>
  </si>
  <si>
    <t>Feijão</t>
  </si>
  <si>
    <t>Açúcar</t>
  </si>
  <si>
    <t>Café</t>
  </si>
  <si>
    <t>Óleo</t>
  </si>
  <si>
    <t>Sal</t>
  </si>
  <si>
    <t>Sabão</t>
  </si>
  <si>
    <t>Detergente</t>
  </si>
  <si>
    <t>Total</t>
  </si>
  <si>
    <t>QTD</t>
  </si>
  <si>
    <t>João Emanuel Vieira Quintino</t>
  </si>
  <si>
    <t>NOME</t>
  </si>
  <si>
    <t>NOTA 1</t>
  </si>
  <si>
    <t>NOTA2</t>
  </si>
  <si>
    <t>MÉDIA</t>
  </si>
  <si>
    <t>Carlos Henrique da Silva</t>
  </si>
  <si>
    <t>Mailson Nascimento Bezerra</t>
  </si>
  <si>
    <t>Aluno1</t>
  </si>
  <si>
    <t>Aluno2</t>
  </si>
  <si>
    <t>Aluno3</t>
  </si>
  <si>
    <t>Aluno4</t>
  </si>
  <si>
    <t>Aluno5</t>
  </si>
  <si>
    <t>SITUAÇÃO</t>
  </si>
  <si>
    <t>Reprovados:</t>
  </si>
  <si>
    <t>Aluno6</t>
  </si>
  <si>
    <t>CIDADE</t>
  </si>
  <si>
    <t>TOTAL</t>
  </si>
  <si>
    <t>Vendedor1</t>
  </si>
  <si>
    <t>Vendedor2</t>
  </si>
  <si>
    <t>Vendedor3</t>
  </si>
  <si>
    <t>Vendedor4</t>
  </si>
  <si>
    <t>Vendedor5</t>
  </si>
  <si>
    <t>Vendedor6</t>
  </si>
  <si>
    <t>Vendedor7</t>
  </si>
  <si>
    <t>Vendedor8</t>
  </si>
  <si>
    <t>Vendedor9</t>
  </si>
  <si>
    <t>Vendedor10</t>
  </si>
  <si>
    <t>Jucás</t>
  </si>
  <si>
    <t>Cariús</t>
  </si>
  <si>
    <t>Iguatu</t>
  </si>
  <si>
    <t>Nome</t>
  </si>
  <si>
    <t>Cidade</t>
  </si>
  <si>
    <t>Comissão</t>
  </si>
  <si>
    <t>A receber</t>
  </si>
  <si>
    <t>PROCV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</si>
</sst>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</numFmts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8"/>
      <color theme="0"/>
      <name val="Algerian"/>
      <family val="5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/>
      <diagonal/>
    </border>
  </borders>
  <cellStyleXfs count="4">
    <xf numFmtId="0" fontId="0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0" fontId="2" fillId="2" borderId="2" xfId="0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/>
    </xf>
    <xf numFmtId="0" fontId="6" fillId="4" borderId="3" xfId="0" applyFont="1" applyFill="1" applyBorder="1"/>
    <xf numFmtId="0" fontId="6" fillId="4" borderId="5" xfId="0" applyFont="1" applyFill="1" applyBorder="1"/>
    <xf numFmtId="0" fontId="0" fillId="0" borderId="5" xfId="0" applyBorder="1"/>
    <xf numFmtId="0" fontId="0" fillId="0" borderId="0" xfId="0" applyAlignment="1">
      <alignment horizontal="right"/>
    </xf>
    <xf numFmtId="0" fontId="0" fillId="5" borderId="0" xfId="0" applyFill="1"/>
    <xf numFmtId="0" fontId="4" fillId="0" borderId="0" xfId="0" applyFont="1" applyAlignment="1">
      <alignment horizontal="center" vertical="center"/>
    </xf>
    <xf numFmtId="44" fontId="0" fillId="0" borderId="0" xfId="2" applyFont="1"/>
    <xf numFmtId="44" fontId="0" fillId="0" borderId="5" xfId="2" applyFont="1" applyBorder="1"/>
    <xf numFmtId="44" fontId="6" fillId="4" borderId="5" xfId="2" applyFont="1" applyFill="1" applyBorder="1"/>
    <xf numFmtId="44" fontId="6" fillId="4" borderId="3" xfId="2" applyFont="1" applyFill="1" applyBorder="1"/>
    <xf numFmtId="10" fontId="0" fillId="0" borderId="5" xfId="0" applyNumberFormat="1" applyBorder="1"/>
    <xf numFmtId="10" fontId="0" fillId="0" borderId="4" xfId="0" applyNumberFormat="1" applyBorder="1"/>
    <xf numFmtId="9" fontId="0" fillId="0" borderId="5" xfId="3" applyFont="1" applyBorder="1"/>
    <xf numFmtId="43" fontId="0" fillId="0" borderId="4" xfId="1" applyFont="1" applyBorder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3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3D7BA4-4D2C-4579-A984-E3FAC067A407}" name="Tabela1" displayName="Tabela1" ref="A1:E10" totalsRowShown="0">
  <autoFilter ref="A1:E10" xr:uid="{7F3D7BA4-4D2C-4579-A984-E3FAC067A407}"/>
  <tableColumns count="5">
    <tableColumn id="1" xr3:uid="{05CAFFE7-2C17-4D04-9579-3F9C27331356}" name="NOME"/>
    <tableColumn id="2" xr3:uid="{748306B0-22A3-40F1-B016-DDF508A85224}" name="NOTA 1"/>
    <tableColumn id="3" xr3:uid="{A34972CF-FFDC-4113-9DB3-9FA1E704B7D4}" name="NOTA2"/>
    <tableColumn id="4" xr3:uid="{9BE8AAF6-D917-4BAB-A021-E9A9C5CBF2B5}" name="MÉDIA" dataDxfId="2">
      <calculatedColumnFormula>AVERAGE(Tabela1[[#This Row],[NOTA 1]:[NOTA2]])</calculatedColumnFormula>
    </tableColumn>
    <tableColumn id="5" xr3:uid="{9DF2DC21-DB52-4794-8537-D02C787C8F34}" name="SITUAÇÃO" dataDxfId="1">
      <calculatedColumnFormula>IF(Tabela1[[#This Row],[MÉDIA]]&gt;=6,"Aprovado","Reprovado")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004375C-72AF-49C4-B01C-3360549E9C3D}" name="Tabela3" displayName="Tabela3" ref="B2:D12" totalsRowShown="0">
  <autoFilter ref="B2:D12" xr:uid="{9004375C-72AF-49C4-B01C-3360549E9C3D}"/>
  <tableColumns count="3">
    <tableColumn id="1" xr3:uid="{F21F4B9E-E211-4B5A-B415-52148C67F9DE}" name="NOME"/>
    <tableColumn id="2" xr3:uid="{87B70D3F-C2A9-470B-B8E1-BEBFBCE7329A}" name="CIDADE"/>
    <tableColumn id="3" xr3:uid="{6B11EFB4-24C2-4AB2-BEAE-194F8C4F689F}" name="TOTAL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5B070-AE98-4672-AD5B-6CE1697165F7}">
  <dimension ref="A1:E11"/>
  <sheetViews>
    <sheetView zoomScale="150" zoomScaleNormal="150" workbookViewId="0">
      <selection activeCell="D11" sqref="D11"/>
    </sheetView>
  </sheetViews>
  <sheetFormatPr defaultRowHeight="14.5" x14ac:dyDescent="0.35"/>
  <cols>
    <col min="1" max="1" width="7.26953125" bestFit="1" customWidth="1"/>
    <col min="2" max="2" width="15.36328125" bestFit="1" customWidth="1"/>
    <col min="3" max="3" width="11.36328125" bestFit="1" customWidth="1"/>
    <col min="4" max="4" width="10" customWidth="1"/>
    <col min="5" max="5" width="11.453125" customWidth="1"/>
    <col min="6" max="6" width="6.1796875" customWidth="1"/>
    <col min="7" max="7" width="8.7265625" customWidth="1"/>
    <col min="10" max="10" width="8.7265625" customWidth="1"/>
  </cols>
  <sheetData>
    <row r="1" spans="1:5" ht="25.5" x14ac:dyDescent="0.35">
      <c r="A1" s="2" t="s">
        <v>0</v>
      </c>
      <c r="B1" s="2" t="s">
        <v>1</v>
      </c>
      <c r="C1" s="2" t="s">
        <v>2</v>
      </c>
      <c r="D1" s="2" t="s">
        <v>13</v>
      </c>
      <c r="E1" s="4" t="s">
        <v>12</v>
      </c>
    </row>
    <row r="2" spans="1:5" x14ac:dyDescent="0.35">
      <c r="A2" s="1">
        <v>1</v>
      </c>
      <c r="B2" s="1" t="s">
        <v>3</v>
      </c>
      <c r="C2" s="3">
        <v>20</v>
      </c>
      <c r="D2" s="1">
        <v>3</v>
      </c>
      <c r="E2" s="3">
        <f t="shared" ref="E2:E10" si="0">C2*D2</f>
        <v>60</v>
      </c>
    </row>
    <row r="3" spans="1:5" x14ac:dyDescent="0.35">
      <c r="A3" s="1">
        <v>2</v>
      </c>
      <c r="B3" s="1" t="s">
        <v>4</v>
      </c>
      <c r="C3" s="3">
        <v>1.8</v>
      </c>
      <c r="D3" s="1">
        <v>10</v>
      </c>
      <c r="E3" s="3">
        <f t="shared" si="0"/>
        <v>18</v>
      </c>
    </row>
    <row r="4" spans="1:5" x14ac:dyDescent="0.35">
      <c r="A4" s="1">
        <v>3</v>
      </c>
      <c r="B4" s="1" t="s">
        <v>5</v>
      </c>
      <c r="C4" s="3">
        <v>4.99</v>
      </c>
      <c r="D4" s="1">
        <v>2</v>
      </c>
      <c r="E4" s="3">
        <f t="shared" si="0"/>
        <v>9.98</v>
      </c>
    </row>
    <row r="5" spans="1:5" x14ac:dyDescent="0.35">
      <c r="A5" s="1">
        <v>4</v>
      </c>
      <c r="B5" s="1" t="s">
        <v>6</v>
      </c>
      <c r="C5" s="3">
        <v>4</v>
      </c>
      <c r="D5" s="1">
        <v>1</v>
      </c>
      <c r="E5" s="3">
        <f t="shared" si="0"/>
        <v>4</v>
      </c>
    </row>
    <row r="6" spans="1:5" x14ac:dyDescent="0.35">
      <c r="A6" s="1">
        <v>5</v>
      </c>
      <c r="B6" s="1" t="s">
        <v>7</v>
      </c>
      <c r="C6" s="3">
        <v>16.89</v>
      </c>
      <c r="D6" s="1">
        <v>4</v>
      </c>
      <c r="E6" s="3">
        <f t="shared" si="0"/>
        <v>67.56</v>
      </c>
    </row>
    <row r="7" spans="1:5" x14ac:dyDescent="0.35">
      <c r="A7" s="1">
        <v>6</v>
      </c>
      <c r="B7" s="1" t="s">
        <v>8</v>
      </c>
      <c r="C7" s="3">
        <v>8.99</v>
      </c>
      <c r="D7" s="1">
        <v>1</v>
      </c>
      <c r="E7" s="3">
        <f t="shared" si="0"/>
        <v>8.99</v>
      </c>
    </row>
    <row r="8" spans="1:5" x14ac:dyDescent="0.35">
      <c r="A8" s="1">
        <v>7</v>
      </c>
      <c r="B8" s="1" t="s">
        <v>9</v>
      </c>
      <c r="C8" s="3">
        <v>1.49</v>
      </c>
      <c r="D8" s="1">
        <v>1</v>
      </c>
      <c r="E8" s="3">
        <f t="shared" si="0"/>
        <v>1.49</v>
      </c>
    </row>
    <row r="9" spans="1:5" x14ac:dyDescent="0.35">
      <c r="A9" s="1">
        <v>8</v>
      </c>
      <c r="B9" s="1" t="s">
        <v>10</v>
      </c>
      <c r="C9" s="3">
        <v>8</v>
      </c>
      <c r="D9" s="1">
        <v>4</v>
      </c>
      <c r="E9" s="3">
        <f t="shared" si="0"/>
        <v>32</v>
      </c>
    </row>
    <row r="10" spans="1:5" x14ac:dyDescent="0.35">
      <c r="A10" s="1">
        <v>9</v>
      </c>
      <c r="B10" s="1" t="s">
        <v>11</v>
      </c>
      <c r="C10" s="3">
        <v>1.8</v>
      </c>
      <c r="D10" s="1">
        <v>4</v>
      </c>
      <c r="E10" s="3">
        <f t="shared" si="0"/>
        <v>7.2</v>
      </c>
    </row>
    <row r="11" spans="1:5" ht="25.5" x14ac:dyDescent="0.35">
      <c r="B11" s="2" t="s">
        <v>12</v>
      </c>
      <c r="C11" s="5">
        <f>SUM(C2:C10)</f>
        <v>67.959999999999994</v>
      </c>
      <c r="D11" s="5">
        <f>SUM(D2:D10)</f>
        <v>30</v>
      </c>
      <c r="E11" s="5">
        <f>SUM(E2:E10)</f>
        <v>209.22000000000003</v>
      </c>
    </row>
  </sheetData>
  <autoFilter ref="A1:E11" xr:uid="{A945B070-AE98-4672-AD5B-6CE1697165F7}"/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2C551-175B-4CA0-9555-301F02ACA80A}">
  <dimension ref="A1:H10"/>
  <sheetViews>
    <sheetView zoomScale="140" zoomScaleNormal="140" workbookViewId="0">
      <selection activeCell="H2" sqref="H2"/>
    </sheetView>
  </sheetViews>
  <sheetFormatPr defaultRowHeight="14.5" x14ac:dyDescent="0.35"/>
  <cols>
    <col min="1" max="1" width="24.36328125" bestFit="1" customWidth="1"/>
    <col min="5" max="5" width="11.6328125" bestFit="1" customWidth="1"/>
    <col min="7" max="8" width="11.54296875" bestFit="1" customWidth="1"/>
  </cols>
  <sheetData>
    <row r="1" spans="1:8" x14ac:dyDescent="0.35">
      <c r="A1" t="s">
        <v>15</v>
      </c>
      <c r="B1" t="s">
        <v>16</v>
      </c>
      <c r="C1" t="s">
        <v>17</v>
      </c>
      <c r="D1" t="s">
        <v>18</v>
      </c>
      <c r="E1" t="s">
        <v>26</v>
      </c>
    </row>
    <row r="2" spans="1:8" x14ac:dyDescent="0.35">
      <c r="A2" t="s">
        <v>14</v>
      </c>
      <c r="B2">
        <v>7</v>
      </c>
      <c r="C2">
        <v>8</v>
      </c>
      <c r="D2">
        <f>AVERAGE(Tabela1[[#This Row],[NOTA 1]:[NOTA2]])</f>
        <v>7.5</v>
      </c>
      <c r="E2" t="str">
        <f>IF(Tabela1[[#This Row],[MÉDIA]]&gt;=6,"Aprovado","Reprovado")</f>
        <v>Aprovado</v>
      </c>
      <c r="G2" s="6" t="s">
        <v>27</v>
      </c>
      <c r="H2" s="7">
        <f>COUNTIF(Tabela1[SITUAÇÃO],"Reprovado")</f>
        <v>4</v>
      </c>
    </row>
    <row r="3" spans="1:8" x14ac:dyDescent="0.35">
      <c r="A3" t="s">
        <v>19</v>
      </c>
      <c r="B3">
        <v>9</v>
      </c>
      <c r="C3">
        <v>10</v>
      </c>
      <c r="D3">
        <f>AVERAGE(Tabela1[[#This Row],[NOTA 1]:[NOTA2]])</f>
        <v>9.5</v>
      </c>
      <c r="E3" t="str">
        <f>IF(Tabela1[[#This Row],[MÉDIA]]&gt;=6,"Aprovado","Reprovado")</f>
        <v>Aprovado</v>
      </c>
    </row>
    <row r="4" spans="1:8" x14ac:dyDescent="0.35">
      <c r="A4" t="s">
        <v>20</v>
      </c>
      <c r="B4">
        <v>8</v>
      </c>
      <c r="C4">
        <v>9</v>
      </c>
      <c r="D4">
        <f>AVERAGE(Tabela1[[#This Row],[NOTA 1]:[NOTA2]])</f>
        <v>8.5</v>
      </c>
      <c r="E4" t="str">
        <f>IF(Tabela1[[#This Row],[MÉDIA]]&gt;=6,"Aprovado","Reprovado")</f>
        <v>Aprovado</v>
      </c>
    </row>
    <row r="5" spans="1:8" x14ac:dyDescent="0.35">
      <c r="A5" t="s">
        <v>21</v>
      </c>
      <c r="B5">
        <v>4</v>
      </c>
      <c r="C5">
        <v>5</v>
      </c>
      <c r="D5">
        <f>AVERAGE(Tabela1[[#This Row],[NOTA 1]:[NOTA2]])</f>
        <v>4.5</v>
      </c>
      <c r="E5" t="str">
        <f>IF(Tabela1[[#This Row],[MÉDIA]]&gt;=6,"Aprovado","Reprovado")</f>
        <v>Reprovado</v>
      </c>
    </row>
    <row r="6" spans="1:8" x14ac:dyDescent="0.35">
      <c r="A6" t="s">
        <v>22</v>
      </c>
      <c r="B6">
        <v>7</v>
      </c>
      <c r="C6">
        <v>8</v>
      </c>
      <c r="D6">
        <f>AVERAGE(Tabela1[[#This Row],[NOTA 1]:[NOTA2]])</f>
        <v>7.5</v>
      </c>
      <c r="E6" t="str">
        <f>IF(Tabela1[[#This Row],[MÉDIA]]&gt;=6,"Aprovado","Reprovado")</f>
        <v>Aprovado</v>
      </c>
    </row>
    <row r="7" spans="1:8" x14ac:dyDescent="0.35">
      <c r="A7" t="s">
        <v>23</v>
      </c>
      <c r="B7">
        <v>2</v>
      </c>
      <c r="C7">
        <v>3</v>
      </c>
      <c r="D7">
        <f>AVERAGE(Tabela1[[#This Row],[NOTA 1]:[NOTA2]])</f>
        <v>2.5</v>
      </c>
      <c r="E7" t="str">
        <f>IF(Tabela1[[#This Row],[MÉDIA]]&gt;=6,"Aprovado","Reprovado")</f>
        <v>Reprovado</v>
      </c>
    </row>
    <row r="8" spans="1:8" x14ac:dyDescent="0.35">
      <c r="A8" t="s">
        <v>24</v>
      </c>
      <c r="B8">
        <v>7</v>
      </c>
      <c r="C8">
        <v>5</v>
      </c>
      <c r="D8">
        <f>AVERAGE(Tabela1[[#This Row],[NOTA 1]:[NOTA2]])</f>
        <v>6</v>
      </c>
      <c r="E8" t="str">
        <f>IF(Tabela1[[#This Row],[MÉDIA]]&gt;=6,"Aprovado","Reprovado")</f>
        <v>Aprovado</v>
      </c>
    </row>
    <row r="9" spans="1:8" x14ac:dyDescent="0.35">
      <c r="A9" t="s">
        <v>25</v>
      </c>
      <c r="B9">
        <v>4</v>
      </c>
      <c r="C9">
        <v>5</v>
      </c>
      <c r="D9">
        <f>AVERAGE(Tabela1[[#This Row],[NOTA 1]:[NOTA2]])</f>
        <v>4.5</v>
      </c>
      <c r="E9" t="str">
        <f>IF(Tabela1[[#This Row],[MÉDIA]]&gt;=6,"Aprovado","Reprovado")</f>
        <v>Reprovado</v>
      </c>
    </row>
    <row r="10" spans="1:8" x14ac:dyDescent="0.35">
      <c r="A10" t="s">
        <v>28</v>
      </c>
      <c r="B10">
        <v>7</v>
      </c>
      <c r="C10">
        <v>2</v>
      </c>
      <c r="D10">
        <f>AVERAGE(Tabela1[[#This Row],[NOTA 1]:[NOTA2]])</f>
        <v>4.5</v>
      </c>
      <c r="E10" t="str">
        <f>IF(Tabela1[[#This Row],[MÉDIA]]&gt;=6,"Aprovado","Reprovado")</f>
        <v>Reprovado</v>
      </c>
    </row>
  </sheetData>
  <phoneticPr fontId="1" type="noConversion"/>
  <conditionalFormatting sqref="E2:E10">
    <cfRule type="cellIs" dxfId="0" priority="1" operator="equal">
      <formula>"Reprovado"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17461-F680-4C37-B967-A5AF895989A2}">
  <dimension ref="B2:M12"/>
  <sheetViews>
    <sheetView tabSelected="1" zoomScale="140" zoomScaleNormal="140" workbookViewId="0">
      <selection activeCell="G2" sqref="G2"/>
    </sheetView>
  </sheetViews>
  <sheetFormatPr defaultRowHeight="14.5" x14ac:dyDescent="0.35"/>
  <cols>
    <col min="2" max="2" width="10.6328125" bestFit="1" customWidth="1"/>
    <col min="4" max="4" width="12.7265625" bestFit="1" customWidth="1"/>
    <col min="5" max="5" width="3.81640625" customWidth="1"/>
    <col min="6" max="6" width="6.7265625" bestFit="1" customWidth="1"/>
    <col min="7" max="7" width="10.6328125" bestFit="1" customWidth="1"/>
    <col min="8" max="8" width="3.7265625" customWidth="1"/>
    <col min="10" max="10" width="12.7265625" bestFit="1" customWidth="1"/>
    <col min="12" max="12" width="12.81640625" bestFit="1" customWidth="1"/>
    <col min="13" max="13" width="9" bestFit="1" customWidth="1"/>
  </cols>
  <sheetData>
    <row r="2" spans="2:13" x14ac:dyDescent="0.35">
      <c r="B2" t="s">
        <v>15</v>
      </c>
      <c r="C2" t="s">
        <v>29</v>
      </c>
      <c r="D2" t="s">
        <v>30</v>
      </c>
      <c r="F2" s="11" t="s">
        <v>44</v>
      </c>
      <c r="G2" s="12" t="s">
        <v>40</v>
      </c>
      <c r="I2" s="9" t="s">
        <v>45</v>
      </c>
      <c r="J2" s="10" t="str">
        <f>VLOOKUP(G2,Tabela3[#All],2,0)</f>
        <v>Jucás</v>
      </c>
      <c r="L2" s="16">
        <v>0</v>
      </c>
      <c r="M2" s="18">
        <v>0.02</v>
      </c>
    </row>
    <row r="3" spans="2:13" x14ac:dyDescent="0.35">
      <c r="B3" t="s">
        <v>31</v>
      </c>
      <c r="C3" t="s">
        <v>41</v>
      </c>
      <c r="D3" s="14">
        <v>40000</v>
      </c>
      <c r="I3" s="9" t="s">
        <v>12</v>
      </c>
      <c r="J3" s="15">
        <f>VLOOKUP(G2,Tabela3[#All],3,FALSE)</f>
        <v>5000</v>
      </c>
      <c r="L3" s="16">
        <v>5000</v>
      </c>
      <c r="M3" s="18">
        <v>0.05</v>
      </c>
    </row>
    <row r="4" spans="2:13" x14ac:dyDescent="0.35">
      <c r="B4" t="s">
        <v>32</v>
      </c>
      <c r="C4" t="s">
        <v>42</v>
      </c>
      <c r="D4" s="14">
        <v>7000</v>
      </c>
      <c r="I4" s="9" t="s">
        <v>46</v>
      </c>
      <c r="J4" s="20">
        <f>VLOOKUP(J3,L2:M5,2,TRUE)</f>
        <v>0.05</v>
      </c>
      <c r="L4" s="16">
        <v>10000</v>
      </c>
      <c r="M4" s="18">
        <v>0.1</v>
      </c>
    </row>
    <row r="5" spans="2:13" x14ac:dyDescent="0.35">
      <c r="B5" t="s">
        <v>33</v>
      </c>
      <c r="C5" t="s">
        <v>43</v>
      </c>
      <c r="D5" s="14">
        <v>7200</v>
      </c>
      <c r="F5" s="13" t="s">
        <v>48</v>
      </c>
      <c r="I5" s="8" t="s">
        <v>47</v>
      </c>
      <c r="J5" s="21"/>
      <c r="L5" s="17">
        <v>15000</v>
      </c>
      <c r="M5" s="19">
        <v>0.15</v>
      </c>
    </row>
    <row r="6" spans="2:13" x14ac:dyDescent="0.35">
      <c r="B6" t="s">
        <v>34</v>
      </c>
      <c r="C6" t="s">
        <v>41</v>
      </c>
      <c r="D6" s="14">
        <v>5300</v>
      </c>
    </row>
    <row r="7" spans="2:13" x14ac:dyDescent="0.35">
      <c r="B7" t="s">
        <v>35</v>
      </c>
      <c r="C7" t="s">
        <v>42</v>
      </c>
      <c r="D7" s="14">
        <v>12000</v>
      </c>
    </row>
    <row r="8" spans="2:13" x14ac:dyDescent="0.35">
      <c r="B8" t="s">
        <v>36</v>
      </c>
      <c r="C8" t="s">
        <v>43</v>
      </c>
      <c r="D8" s="14">
        <v>7000</v>
      </c>
    </row>
    <row r="9" spans="2:13" x14ac:dyDescent="0.35">
      <c r="B9" t="s">
        <v>37</v>
      </c>
      <c r="C9" t="s">
        <v>41</v>
      </c>
      <c r="D9" s="14">
        <v>6200</v>
      </c>
    </row>
    <row r="10" spans="2:13" x14ac:dyDescent="0.35">
      <c r="B10" t="s">
        <v>38</v>
      </c>
      <c r="C10" t="s">
        <v>42</v>
      </c>
      <c r="D10" s="14">
        <v>4500</v>
      </c>
    </row>
    <row r="11" spans="2:13" x14ac:dyDescent="0.35">
      <c r="B11" t="s">
        <v>39</v>
      </c>
      <c r="C11" t="s">
        <v>43</v>
      </c>
      <c r="D11" s="14">
        <v>7000</v>
      </c>
    </row>
    <row r="12" spans="2:13" x14ac:dyDescent="0.35">
      <c r="B12" t="s">
        <v>40</v>
      </c>
      <c r="C12" t="s">
        <v>41</v>
      </c>
      <c r="D12" s="14">
        <v>5000</v>
      </c>
    </row>
  </sheetData>
  <phoneticPr fontId="1" type="noConversion"/>
  <dataValidations count="1">
    <dataValidation type="list" allowBlank="1" showInputMessage="1" showErrorMessage="1" sqref="G2" xr:uid="{BE426108-EB09-4FEC-9A56-5A35EDFAA212}">
      <formula1>$B$3:$B$12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Fundamentos</vt:lpstr>
      <vt:lpstr>Condicionais</vt:lpstr>
      <vt:lpstr>Busca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 quintino</dc:creator>
  <cp:lastModifiedBy>emanuel quintino</cp:lastModifiedBy>
  <cp:lastPrinted>2025-11-19T22:32:24Z</cp:lastPrinted>
  <dcterms:created xsi:type="dcterms:W3CDTF">2025-11-17T22:08:17Z</dcterms:created>
  <dcterms:modified xsi:type="dcterms:W3CDTF">2025-11-26T21:58:27Z</dcterms:modified>
</cp:coreProperties>
</file>