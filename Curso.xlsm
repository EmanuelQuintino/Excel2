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0cbc61c02823304/Área de Trabalho/Excel/"/>
    </mc:Choice>
  </mc:AlternateContent>
  <xr:revisionPtr revIDLastSave="5" documentId="8_{7F3F0C12-8C9F-4D8B-8367-5EFFDA361C16}" xr6:coauthVersionLast="47" xr6:coauthVersionMax="47" xr10:uidLastSave="{D59476CB-6033-4E15-9B35-877144848FBC}"/>
  <bookViews>
    <workbookView xWindow="-110" yWindow="-110" windowWidth="19420" windowHeight="10300" firstSheet="1" activeTab="5" xr2:uid="{7D4AABDD-0C3E-4DEF-9CB4-6AFE2CB95188}"/>
  </bookViews>
  <sheets>
    <sheet name="Fundamentos" sheetId="1" r:id="rId1"/>
    <sheet name="Condicionais" sheetId="2" r:id="rId2"/>
    <sheet name="Busca" sheetId="3" r:id="rId3"/>
    <sheet name="Frequência" sheetId="4" r:id="rId4"/>
    <sheet name="Data" sheetId="5" r:id="rId5"/>
    <sheet name="Brasileirão" sheetId="7" r:id="rId6"/>
  </sheets>
  <definedNames>
    <definedName name="_xlnm._FilterDatabase" localSheetId="0" hidden="1">Fundamentos!$A$1:$E$11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7" l="1"/>
  <c r="E5" i="7"/>
  <c r="E4" i="7"/>
  <c r="E6" i="7"/>
  <c r="B6" i="7" s="1"/>
  <c r="H7" i="5"/>
  <c r="H8" i="5"/>
  <c r="H9" i="5"/>
  <c r="H10" i="5"/>
  <c r="H13" i="5"/>
  <c r="H14" i="5"/>
  <c r="H2" i="5"/>
  <c r="G5" i="5" s="1"/>
  <c r="H5" i="5" s="1"/>
  <c r="M15" i="4"/>
  <c r="N15" i="4" s="1"/>
  <c r="M6" i="4"/>
  <c r="N6" i="4" s="1"/>
  <c r="M5" i="4"/>
  <c r="N5" i="4" s="1"/>
  <c r="M7" i="4"/>
  <c r="N7" i="4" s="1"/>
  <c r="M8" i="4"/>
  <c r="N8" i="4" s="1"/>
  <c r="M9" i="4"/>
  <c r="N9" i="4" s="1"/>
  <c r="M10" i="4"/>
  <c r="N10" i="4" s="1"/>
  <c r="M11" i="4"/>
  <c r="N11" i="4" s="1"/>
  <c r="M12" i="4"/>
  <c r="N12" i="4" s="1"/>
  <c r="M13" i="4"/>
  <c r="N13" i="4" s="1"/>
  <c r="M14" i="4"/>
  <c r="N14" i="4" s="1"/>
  <c r="J3" i="3"/>
  <c r="J2" i="3"/>
  <c r="D10" i="2"/>
  <c r="E10" i="2" s="1"/>
  <c r="H2" i="2" s="1"/>
  <c r="D9" i="2"/>
  <c r="E9" i="2" s="1"/>
  <c r="D8" i="2"/>
  <c r="E8" i="2" s="1"/>
  <c r="D7" i="2"/>
  <c r="E7" i="2" s="1"/>
  <c r="D2" i="2"/>
  <c r="E2" i="2" s="1"/>
  <c r="D3" i="2"/>
  <c r="E3" i="2" s="1"/>
  <c r="D4" i="2"/>
  <c r="E4" i="2" s="1"/>
  <c r="D5" i="2"/>
  <c r="E5" i="2" s="1"/>
  <c r="D6" i="2"/>
  <c r="E6" i="2" s="1"/>
  <c r="E11" i="1"/>
  <c r="D11" i="1"/>
  <c r="E10" i="1"/>
  <c r="E9" i="1"/>
  <c r="E8" i="1"/>
  <c r="E7" i="1"/>
  <c r="E6" i="1"/>
  <c r="E5" i="1"/>
  <c r="E4" i="1"/>
  <c r="E3" i="1"/>
  <c r="E2" i="1"/>
  <c r="C11" i="1"/>
  <c r="B4" i="7" l="1"/>
  <c r="B7" i="7"/>
  <c r="B5" i="7"/>
  <c r="G7" i="5"/>
  <c r="G8" i="5"/>
  <c r="G9" i="5"/>
  <c r="G10" i="5"/>
  <c r="G11" i="5"/>
  <c r="H11" i="5" s="1"/>
  <c r="G13" i="5"/>
  <c r="G14" i="5"/>
  <c r="G12" i="5"/>
  <c r="H12" i="5" s="1"/>
  <c r="G6" i="5"/>
  <c r="H6" i="5" s="1"/>
  <c r="J4" i="3"/>
  <c r="J5" i="3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<sst xmlns="http://schemas.openxmlformats.org/spreadsheetml/2006/main" count="251" uniqueCount="105">
  <si>
    <t>cod</t>
  </si>
  <si>
    <t>produto</t>
  </si>
  <si>
    <t>Preço</t>
  </si>
  <si>
    <t>Arroz</t>
  </si>
  <si>
    <t>Cuscuz</t>
  </si>
  <si>
    <t>Feijão</t>
  </si>
  <si>
    <t>Açúcar</t>
  </si>
  <si>
    <t>Café</t>
  </si>
  <si>
    <t>Óleo</t>
  </si>
  <si>
    <t>Sal</t>
  </si>
  <si>
    <t>Sabão</t>
  </si>
  <si>
    <t>Detergente</t>
  </si>
  <si>
    <t>Total</t>
  </si>
  <si>
    <t>QTD</t>
  </si>
  <si>
    <t>João Emanuel Vieira Quintino</t>
  </si>
  <si>
    <t>NOME</t>
  </si>
  <si>
    <t>NOTA 1</t>
  </si>
  <si>
    <t>NOTA2</t>
  </si>
  <si>
    <t>MÉDIA</t>
  </si>
  <si>
    <t>Carlos Henrique da Silva</t>
  </si>
  <si>
    <t>Mailson Nascimento Bezerra</t>
  </si>
  <si>
    <t>Aluno1</t>
  </si>
  <si>
    <t>Aluno2</t>
  </si>
  <si>
    <t>Aluno3</t>
  </si>
  <si>
    <t>Aluno4</t>
  </si>
  <si>
    <t>Aluno5</t>
  </si>
  <si>
    <t>SITUAÇÃO</t>
  </si>
  <si>
    <t>Reprovados:</t>
  </si>
  <si>
    <t>Aluno6</t>
  </si>
  <si>
    <t>CIDADE</t>
  </si>
  <si>
    <t>TOTAL</t>
  </si>
  <si>
    <t>Vendedor1</t>
  </si>
  <si>
    <t>Vendedor2</t>
  </si>
  <si>
    <t>Vendedor4</t>
  </si>
  <si>
    <t>Vendedor5</t>
  </si>
  <si>
    <t>Vendedor6</t>
  </si>
  <si>
    <t>Vendedor7</t>
  </si>
  <si>
    <t>Vendedor8</t>
  </si>
  <si>
    <t>Vendedor9</t>
  </si>
  <si>
    <t>Vendedor10</t>
  </si>
  <si>
    <t>Jucás</t>
  </si>
  <si>
    <t>Cariús</t>
  </si>
  <si>
    <t>Iguatu</t>
  </si>
  <si>
    <t>Nome</t>
  </si>
  <si>
    <t>Cidade</t>
  </si>
  <si>
    <t>Comissão</t>
  </si>
  <si>
    <t>A receber</t>
  </si>
  <si>
    <t>PROCV</t>
  </si>
  <si>
    <t>Emanuel Quintino</t>
  </si>
  <si>
    <t>XXX</t>
  </si>
  <si>
    <t>Aluno7</t>
  </si>
  <si>
    <t>Aluno8</t>
  </si>
  <si>
    <t>Aluno9</t>
  </si>
  <si>
    <t>Aluno10</t>
  </si>
  <si>
    <t>Frequência de Alunos - Dezembro</t>
  </si>
  <si>
    <t>1</t>
  </si>
  <si>
    <t>2</t>
  </si>
  <si>
    <t>3</t>
  </si>
  <si>
    <t>4</t>
  </si>
  <si>
    <t>5</t>
  </si>
  <si>
    <t>8</t>
  </si>
  <si>
    <t>9</t>
  </si>
  <si>
    <t>10</t>
  </si>
  <si>
    <t>11</t>
  </si>
  <si>
    <t>12</t>
  </si>
  <si>
    <t>P</t>
  </si>
  <si>
    <t>F</t>
  </si>
  <si>
    <t>(%)</t>
  </si>
  <si>
    <t>Aluno11</t>
  </si>
  <si>
    <t>COD</t>
  </si>
  <si>
    <t>TIPO</t>
  </si>
  <si>
    <t>VENCIMENTO</t>
  </si>
  <si>
    <t>STATUS</t>
  </si>
  <si>
    <t>VALOR</t>
  </si>
  <si>
    <t>DIAS</t>
  </si>
  <si>
    <t>NOTA1</t>
  </si>
  <si>
    <t>NOTA3</t>
  </si>
  <si>
    <t>NOTA4</t>
  </si>
  <si>
    <t>NOTA5</t>
  </si>
  <si>
    <t>NOTA6</t>
  </si>
  <si>
    <t>NOTA7</t>
  </si>
  <si>
    <t>NOTA8</t>
  </si>
  <si>
    <t>NOTA9</t>
  </si>
  <si>
    <t>NOTA10</t>
  </si>
  <si>
    <t>A PAGAR</t>
  </si>
  <si>
    <t>A RECEBER</t>
  </si>
  <si>
    <t>PAGO</t>
  </si>
  <si>
    <t>PENDENTE</t>
  </si>
  <si>
    <t>DATA:</t>
  </si>
  <si>
    <t>Clube</t>
  </si>
  <si>
    <t>Brasileirão - Série A</t>
  </si>
  <si>
    <t>VIT</t>
  </si>
  <si>
    <t>DER</t>
  </si>
  <si>
    <t>PTS</t>
  </si>
  <si>
    <t>EMP</t>
  </si>
  <si>
    <t>ÚLTIMAS</t>
  </si>
  <si>
    <t>FLAMENGO</t>
  </si>
  <si>
    <t>CRUZEIRO</t>
  </si>
  <si>
    <t>PALMEIRAS</t>
  </si>
  <si>
    <t>MIRASSOL</t>
  </si>
  <si>
    <t>Vitória</t>
  </si>
  <si>
    <t>Empate</t>
  </si>
  <si>
    <t>Derrota</t>
  </si>
  <si>
    <t>Quintino</t>
  </si>
  <si>
    <t>*VBA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</si>
</sst>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8"/>
      <color theme="0"/>
      <name val="Algerian"/>
      <family val="5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 style="thin">
        <color theme="5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42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0" fontId="2" fillId="2" borderId="2" xfId="0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4" fillId="0" borderId="0" xfId="0" applyFont="1"/>
    <xf numFmtId="0" fontId="0" fillId="3" borderId="0" xfId="0" applyFill="1" applyAlignment="1">
      <alignment horizontal="center"/>
    </xf>
    <xf numFmtId="0" fontId="6" fillId="4" borderId="3" xfId="0" applyFont="1" applyFill="1" applyBorder="1"/>
    <xf numFmtId="0" fontId="6" fillId="4" borderId="5" xfId="0" applyFont="1" applyFill="1" applyBorder="1"/>
    <xf numFmtId="0" fontId="0" fillId="0" borderId="5" xfId="0" applyBorder="1"/>
    <xf numFmtId="0" fontId="0" fillId="0" borderId="0" xfId="0" applyAlignment="1">
      <alignment horizontal="right"/>
    </xf>
    <xf numFmtId="0" fontId="0" fillId="5" borderId="0" xfId="0" applyFill="1"/>
    <xf numFmtId="0" fontId="4" fillId="0" borderId="0" xfId="0" applyFont="1" applyAlignment="1">
      <alignment horizontal="center" vertical="center"/>
    </xf>
    <xf numFmtId="44" fontId="0" fillId="0" borderId="0" xfId="1" applyFont="1"/>
    <xf numFmtId="44" fontId="0" fillId="0" borderId="5" xfId="1" applyFont="1" applyBorder="1"/>
    <xf numFmtId="44" fontId="6" fillId="4" borderId="5" xfId="1" applyFont="1" applyFill="1" applyBorder="1"/>
    <xf numFmtId="44" fontId="6" fillId="4" borderId="3" xfId="1" applyFont="1" applyFill="1" applyBorder="1"/>
    <xf numFmtId="10" fontId="0" fillId="0" borderId="5" xfId="0" applyNumberFormat="1" applyBorder="1"/>
    <xf numFmtId="10" fontId="0" fillId="0" borderId="4" xfId="0" applyNumberFormat="1" applyBorder="1"/>
    <xf numFmtId="9" fontId="0" fillId="0" borderId="5" xfId="2" applyFont="1" applyBorder="1"/>
    <xf numFmtId="44" fontId="0" fillId="0" borderId="4" xfId="1" applyFont="1" applyBorder="1"/>
    <xf numFmtId="9" fontId="0" fillId="0" borderId="0" xfId="2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14" fontId="0" fillId="0" borderId="0" xfId="0" applyNumberFormat="1"/>
    <xf numFmtId="14" fontId="4" fillId="0" borderId="0" xfId="0" applyNumberFormat="1" applyFont="1" applyAlignment="1">
      <alignment horizontal="center"/>
    </xf>
    <xf numFmtId="0" fontId="0" fillId="7" borderId="0" xfId="0" applyFill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9" borderId="0" xfId="0" applyFont="1" applyFill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0" fontId="8" fillId="8" borderId="9" xfId="0" applyFont="1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1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color theme="5" tint="-0.24994659260841701"/>
      </font>
      <fill>
        <patternFill>
          <bgColor theme="5" tint="0.59996337778862885"/>
        </patternFill>
      </fill>
    </dxf>
    <dxf>
      <font>
        <strike/>
        <color theme="2" tint="-0.499984740745262"/>
      </font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407352</xdr:colOff>
      <xdr:row>0</xdr:row>
      <xdr:rowOff>100012</xdr:rowOff>
    </xdr:from>
    <xdr:to>
      <xdr:col>14</xdr:col>
      <xdr:colOff>464184</xdr:colOff>
      <xdr:row>2</xdr:row>
      <xdr:rowOff>154939</xdr:rowOff>
    </xdr:to>
    <xdr:sp macro="[0]!Ordenar" textlink="">
      <xdr:nvSpPr>
        <xdr:cNvPr id="6" name="Coração 5">
          <a:extLst>
            <a:ext uri="{FF2B5EF4-FFF2-40B4-BE49-F238E27FC236}">
              <a16:creationId xmlns:a16="http://schemas.microsoft.com/office/drawing/2014/main" id="{A17580F9-3FE3-4052-2964-3A9C4E3CAC30}"/>
            </a:ext>
          </a:extLst>
        </xdr:cNvPr>
        <xdr:cNvSpPr/>
      </xdr:nvSpPr>
      <xdr:spPr>
        <a:xfrm>
          <a:off x="5441315" y="100012"/>
          <a:ext cx="466407" cy="474027"/>
        </a:xfrm>
        <a:prstGeom prst="hear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3D7BA4-4D2C-4579-A984-E3FAC067A407}" name="Tabela1" displayName="Tabela1" ref="A1:E10" totalsRowShown="0">
  <autoFilter ref="A1:E10" xr:uid="{7F3D7BA4-4D2C-4579-A984-E3FAC067A407}"/>
  <tableColumns count="5">
    <tableColumn id="1" xr3:uid="{05CAFFE7-2C17-4D04-9579-3F9C27331356}" name="NOME"/>
    <tableColumn id="2" xr3:uid="{748306B0-22A3-40F1-B016-DDF508A85224}" name="NOTA 1"/>
    <tableColumn id="3" xr3:uid="{A34972CF-FFDC-4113-9DB3-9FA1E704B7D4}" name="NOTA2"/>
    <tableColumn id="4" xr3:uid="{9BE8AAF6-D917-4BAB-A021-E9A9C5CBF2B5}" name="MÉDIA" dataDxfId="9">
      <calculatedColumnFormula>AVERAGE(Tabela1[[#This Row],[NOTA 1]:[NOTA2]])</calculatedColumnFormula>
    </tableColumn>
    <tableColumn id="5" xr3:uid="{9DF2DC21-DB52-4794-8537-D02C787C8F34}" name="SITUAÇÃO" dataDxfId="8">
      <calculatedColumnFormula>IF(Tabela1[[#This Row],[MÉDIA]]&gt;=6,"Aprovado","Reprovado")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4375C-72AF-49C4-B01C-3360549E9C3D}" name="Tabela3" displayName="Tabela3" ref="B2:D13" totalsRowShown="0">
  <autoFilter ref="B2:D13" xr:uid="{9004375C-72AF-49C4-B01C-3360549E9C3D}"/>
  <tableColumns count="3">
    <tableColumn id="1" xr3:uid="{F21F4B9E-E211-4B5A-B415-52148C67F9DE}" name="NOME"/>
    <tableColumn id="2" xr3:uid="{87B70D3F-C2A9-470B-B8E1-BEBFBCE7329A}" name="CIDADE"/>
    <tableColumn id="3" xr3:uid="{6B11EFB4-24C2-4AB2-BEAE-194F8C4F689F}" name="TOTAL" dataCellStyle="Moed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8B9745-16F7-4F42-8CE2-F216BFE49A3E}" name="Tabela2" displayName="Tabela2" ref="B4:N15" totalsRowShown="0" headerRowDxfId="6">
  <autoFilter ref="B4:N15" xr:uid="{3E8B9745-16F7-4F42-8CE2-F216BFE49A3E}"/>
  <tableColumns count="13">
    <tableColumn id="1" xr3:uid="{AFF9EB8E-047F-4BEC-899D-135BC997F23F}" name="NOME"/>
    <tableColumn id="2" xr3:uid="{3678752D-099F-48EE-A691-430E1287BFC7}" name="1"/>
    <tableColumn id="3" xr3:uid="{D40AA456-353A-40C0-8A70-328CE2666732}" name="2"/>
    <tableColumn id="4" xr3:uid="{F546A9F3-1E44-4AAB-8FD6-AB97CD0C5394}" name="3"/>
    <tableColumn id="5" xr3:uid="{939FC67F-1EEF-4F44-BFD6-1A2C84BEAAB8}" name="4"/>
    <tableColumn id="6" xr3:uid="{20D07DBA-08D4-49D3-91F6-4BD5C9D7A982}" name="5"/>
    <tableColumn id="7" xr3:uid="{3A88AD7B-00BD-4697-8104-9DA56C9EF7D3}" name="8"/>
    <tableColumn id="8" xr3:uid="{6710E38E-DFD6-4FCA-A90C-7D08F15E1E0C}" name="9"/>
    <tableColumn id="9" xr3:uid="{6FD4DD9C-0863-4365-B7F5-E1D2A3DE4217}" name="10"/>
    <tableColumn id="10" xr3:uid="{00B90295-5D94-49D6-8FB3-0A805F73FBF1}" name="11"/>
    <tableColumn id="11" xr3:uid="{68C014AA-2921-4FBF-B910-2E4ACE897A7D}" name="12"/>
    <tableColumn id="12" xr3:uid="{F51D09F5-4449-42A8-9299-E7747D5778EC}" name="TOTAL" dataDxfId="5">
      <calculatedColumnFormula>COUNTIF(Tabela2[[#This Row],[1]:[12]],"P")</calculatedColumnFormula>
    </tableColumn>
    <tableColumn id="13" xr3:uid="{290A65CD-5DF4-4F8E-BBD0-9EF9124356D0}" name="(%)" dataCellStyle="Porcentagem">
      <calculatedColumnFormula>Tabela2[[#This Row],[TOTAL]]/10</calculatedColumnFormula>
    </tableColumn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B18150B-BE6E-4E57-A11A-5D0777AA3170}" name="Tabela6" displayName="Tabela6" ref="B4:H14" totalsRowShown="0" headerRowDxfId="2">
  <autoFilter ref="B4:H14" xr:uid="{6B18150B-BE6E-4E57-A11A-5D0777AA3170}"/>
  <tableColumns count="7">
    <tableColumn id="1" xr3:uid="{A4DFADA1-453E-462F-B239-29822CC02768}" name="COD"/>
    <tableColumn id="2" xr3:uid="{5A21BAA3-191B-4BD8-A74A-A656DBB29DF7}" name="TIPO"/>
    <tableColumn id="3" xr3:uid="{97AE58DF-C621-47D9-980C-AF9BE6D93908}" name="VENCIMENTO"/>
    <tableColumn id="4" xr3:uid="{7E988740-8E74-40A3-B8BC-28F269B2BF13}" name="STATUS"/>
    <tableColumn id="5" xr3:uid="{F2BA1C9E-B9AC-4A50-8B42-4AD05F41DD69}" name="VALOR" dataCellStyle="Moeda"/>
    <tableColumn id="6" xr3:uid="{D681391F-D79D-4706-AC0B-6266E0A92FF5}" name="DIAS" dataDxfId="1">
      <calculatedColumnFormula>Tabela6[[#This Row],[VENCIMENTO]]-$H$2</calculatedColumnFormula>
    </tableColumn>
    <tableColumn id="7" xr3:uid="{4B09101C-E51B-496D-85AD-60072B1EF4B9}" name="SITUAÇÃO" dataDxfId="0">
      <calculatedColumnFormula>IF(Tabela6[[#This Row],[STATUS]]&lt;&gt;"PAGO",IF(Tabela6[[#This Row],[DIAS]]&lt;0,"ATRASADO",""),"")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5B070-AE98-4672-AD5B-6CE1697165F7}">
  <sheetPr codeName="Planilha1"/>
  <dimension ref="A1:E11"/>
  <sheetViews>
    <sheetView zoomScale="150" zoomScaleNormal="150" workbookViewId="0">
      <selection sqref="A1:E11"/>
    </sheetView>
  </sheetViews>
  <sheetFormatPr defaultRowHeight="14.5" x14ac:dyDescent="0.35"/>
  <cols>
    <col min="1" max="1" width="7.26953125" bestFit="1" customWidth="1"/>
    <col min="2" max="2" width="15.36328125" bestFit="1" customWidth="1"/>
    <col min="3" max="3" width="11.36328125" bestFit="1" customWidth="1"/>
    <col min="4" max="4" width="10" customWidth="1"/>
    <col min="5" max="5" width="11.453125" customWidth="1"/>
    <col min="6" max="6" width="6.1796875" customWidth="1"/>
    <col min="7" max="7" width="8.7265625" customWidth="1"/>
    <col min="10" max="10" width="8.7265625" customWidth="1"/>
  </cols>
  <sheetData>
    <row r="1" spans="1:5" ht="25.5" x14ac:dyDescent="0.35">
      <c r="A1" s="2" t="s">
        <v>0</v>
      </c>
      <c r="B1" s="2" t="s">
        <v>1</v>
      </c>
      <c r="C1" s="2" t="s">
        <v>2</v>
      </c>
      <c r="D1" s="2" t="s">
        <v>13</v>
      </c>
      <c r="E1" s="4" t="s">
        <v>12</v>
      </c>
    </row>
    <row r="2" spans="1:5" x14ac:dyDescent="0.35">
      <c r="A2" s="1">
        <v>1</v>
      </c>
      <c r="B2" s="1" t="s">
        <v>3</v>
      </c>
      <c r="C2" s="3">
        <v>20</v>
      </c>
      <c r="D2" s="1">
        <v>3</v>
      </c>
      <c r="E2" s="3">
        <f t="shared" ref="E2:E10" si="0">C2*D2</f>
        <v>60</v>
      </c>
    </row>
    <row r="3" spans="1:5" x14ac:dyDescent="0.35">
      <c r="A3" s="1">
        <v>2</v>
      </c>
      <c r="B3" s="1" t="s">
        <v>4</v>
      </c>
      <c r="C3" s="3">
        <v>1.8</v>
      </c>
      <c r="D3" s="1">
        <v>10</v>
      </c>
      <c r="E3" s="3">
        <f t="shared" si="0"/>
        <v>18</v>
      </c>
    </row>
    <row r="4" spans="1:5" x14ac:dyDescent="0.35">
      <c r="A4" s="1">
        <v>3</v>
      </c>
      <c r="B4" s="1" t="s">
        <v>5</v>
      </c>
      <c r="C4" s="3">
        <v>4.99</v>
      </c>
      <c r="D4" s="1">
        <v>2</v>
      </c>
      <c r="E4" s="3">
        <f t="shared" si="0"/>
        <v>9.98</v>
      </c>
    </row>
    <row r="5" spans="1:5" x14ac:dyDescent="0.35">
      <c r="A5" s="1">
        <v>4</v>
      </c>
      <c r="B5" s="1" t="s">
        <v>6</v>
      </c>
      <c r="C5" s="3">
        <v>4</v>
      </c>
      <c r="D5" s="1">
        <v>1</v>
      </c>
      <c r="E5" s="3">
        <f t="shared" si="0"/>
        <v>4</v>
      </c>
    </row>
    <row r="6" spans="1:5" x14ac:dyDescent="0.35">
      <c r="A6" s="1">
        <v>5</v>
      </c>
      <c r="B6" s="1" t="s">
        <v>7</v>
      </c>
      <c r="C6" s="3">
        <v>16.89</v>
      </c>
      <c r="D6" s="1">
        <v>4</v>
      </c>
      <c r="E6" s="3">
        <f t="shared" si="0"/>
        <v>67.56</v>
      </c>
    </row>
    <row r="7" spans="1:5" x14ac:dyDescent="0.35">
      <c r="A7" s="1">
        <v>6</v>
      </c>
      <c r="B7" s="1" t="s">
        <v>8</v>
      </c>
      <c r="C7" s="3">
        <v>8.99</v>
      </c>
      <c r="D7" s="1">
        <v>1</v>
      </c>
      <c r="E7" s="3">
        <f t="shared" si="0"/>
        <v>8.99</v>
      </c>
    </row>
    <row r="8" spans="1:5" x14ac:dyDescent="0.35">
      <c r="A8" s="1">
        <v>7</v>
      </c>
      <c r="B8" s="1" t="s">
        <v>9</v>
      </c>
      <c r="C8" s="3">
        <v>1.49</v>
      </c>
      <c r="D8" s="1">
        <v>1</v>
      </c>
      <c r="E8" s="3">
        <f t="shared" si="0"/>
        <v>1.49</v>
      </c>
    </row>
    <row r="9" spans="1:5" x14ac:dyDescent="0.35">
      <c r="A9" s="1">
        <v>8</v>
      </c>
      <c r="B9" s="1" t="s">
        <v>10</v>
      </c>
      <c r="C9" s="3">
        <v>8</v>
      </c>
      <c r="D9" s="1">
        <v>4</v>
      </c>
      <c r="E9" s="3">
        <f t="shared" si="0"/>
        <v>32</v>
      </c>
    </row>
    <row r="10" spans="1:5" x14ac:dyDescent="0.35">
      <c r="A10" s="1">
        <v>9</v>
      </c>
      <c r="B10" s="1" t="s">
        <v>11</v>
      </c>
      <c r="C10" s="3">
        <v>1.8</v>
      </c>
      <c r="D10" s="1">
        <v>4</v>
      </c>
      <c r="E10" s="3">
        <f t="shared" si="0"/>
        <v>7.2</v>
      </c>
    </row>
    <row r="11" spans="1:5" ht="25.5" x14ac:dyDescent="0.35">
      <c r="B11" s="2" t="s">
        <v>12</v>
      </c>
      <c r="C11" s="5">
        <f>SUM(C2:C10)</f>
        <v>67.959999999999994</v>
      </c>
      <c r="D11" s="5">
        <f>SUM(D2:D10)</f>
        <v>30</v>
      </c>
      <c r="E11" s="5">
        <f>SUM(E2:E10)</f>
        <v>209.22000000000003</v>
      </c>
    </row>
  </sheetData>
  <autoFilter ref="A1:E11" xr:uid="{A945B070-AE98-4672-AD5B-6CE1697165F7}"/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2C551-175B-4CA0-9555-301F02ACA80A}">
  <sheetPr codeName="Planilha2"/>
  <dimension ref="A1:H10"/>
  <sheetViews>
    <sheetView zoomScale="140" zoomScaleNormal="140" workbookViewId="0">
      <selection activeCell="E4" sqref="E4:E5"/>
    </sheetView>
  </sheetViews>
  <sheetFormatPr defaultRowHeight="14.5" x14ac:dyDescent="0.35"/>
  <cols>
    <col min="1" max="1" width="24.36328125" bestFit="1" customWidth="1"/>
    <col min="5" max="5" width="11.6328125" bestFit="1" customWidth="1"/>
    <col min="7" max="8" width="11.54296875" bestFit="1" customWidth="1"/>
  </cols>
  <sheetData>
    <row r="1" spans="1:8" x14ac:dyDescent="0.35">
      <c r="A1" t="s">
        <v>15</v>
      </c>
      <c r="B1" t="s">
        <v>16</v>
      </c>
      <c r="C1" t="s">
        <v>17</v>
      </c>
      <c r="D1" t="s">
        <v>18</v>
      </c>
      <c r="E1" t="s">
        <v>26</v>
      </c>
    </row>
    <row r="2" spans="1:8" x14ac:dyDescent="0.35">
      <c r="A2" t="s">
        <v>14</v>
      </c>
      <c r="B2">
        <v>7</v>
      </c>
      <c r="C2">
        <v>8</v>
      </c>
      <c r="D2">
        <f>AVERAGE(Tabela1[[#This Row],[NOTA 1]:[NOTA2]])</f>
        <v>7.5</v>
      </c>
      <c r="E2" t="str">
        <f>IF(Tabela1[[#This Row],[MÉDIA]]&gt;=6,"Aprovado","Reprovado")</f>
        <v>Aprovado</v>
      </c>
      <c r="G2" s="6" t="s">
        <v>27</v>
      </c>
      <c r="H2" s="7">
        <f>COUNTIF(Tabela1[SITUAÇÃO],"Reprovado")</f>
        <v>4</v>
      </c>
    </row>
    <row r="3" spans="1:8" x14ac:dyDescent="0.35">
      <c r="A3" t="s">
        <v>19</v>
      </c>
      <c r="B3">
        <v>9</v>
      </c>
      <c r="C3">
        <v>10</v>
      </c>
      <c r="D3">
        <f>AVERAGE(Tabela1[[#This Row],[NOTA 1]:[NOTA2]])</f>
        <v>9.5</v>
      </c>
      <c r="E3" t="str">
        <f>IF(Tabela1[[#This Row],[MÉDIA]]&gt;=6,"Aprovado","Reprovado")</f>
        <v>Aprovado</v>
      </c>
    </row>
    <row r="4" spans="1:8" x14ac:dyDescent="0.35">
      <c r="A4" t="s">
        <v>20</v>
      </c>
      <c r="B4">
        <v>8</v>
      </c>
      <c r="C4">
        <v>9</v>
      </c>
      <c r="D4">
        <f>AVERAGE(Tabela1[[#This Row],[NOTA 1]:[NOTA2]])</f>
        <v>8.5</v>
      </c>
      <c r="E4" t="str">
        <f>IF(Tabela1[[#This Row],[MÉDIA]]&gt;=6,"Aprovado","Reprovado")</f>
        <v>Aprovado</v>
      </c>
    </row>
    <row r="5" spans="1:8" x14ac:dyDescent="0.35">
      <c r="A5" t="s">
        <v>21</v>
      </c>
      <c r="B5">
        <v>4</v>
      </c>
      <c r="C5">
        <v>5</v>
      </c>
      <c r="D5">
        <f>AVERAGE(Tabela1[[#This Row],[NOTA 1]:[NOTA2]])</f>
        <v>4.5</v>
      </c>
      <c r="E5" t="str">
        <f>IF(Tabela1[[#This Row],[MÉDIA]]&gt;=6,"Aprovado","Reprovado")</f>
        <v>Reprovado</v>
      </c>
    </row>
    <row r="6" spans="1:8" x14ac:dyDescent="0.35">
      <c r="A6" t="s">
        <v>22</v>
      </c>
      <c r="B6">
        <v>7</v>
      </c>
      <c r="C6">
        <v>8</v>
      </c>
      <c r="D6">
        <f>AVERAGE(Tabela1[[#This Row],[NOTA 1]:[NOTA2]])</f>
        <v>7.5</v>
      </c>
      <c r="E6" t="str">
        <f>IF(Tabela1[[#This Row],[MÉDIA]]&gt;=6,"Aprovado","Reprovado")</f>
        <v>Aprovado</v>
      </c>
    </row>
    <row r="7" spans="1:8" x14ac:dyDescent="0.35">
      <c r="A7" t="s">
        <v>23</v>
      </c>
      <c r="B7">
        <v>2</v>
      </c>
      <c r="C7">
        <v>3</v>
      </c>
      <c r="D7">
        <f>AVERAGE(Tabela1[[#This Row],[NOTA 1]:[NOTA2]])</f>
        <v>2.5</v>
      </c>
      <c r="E7" t="str">
        <f>IF(Tabela1[[#This Row],[MÉDIA]]&gt;=6,"Aprovado","Reprovado")</f>
        <v>Reprovado</v>
      </c>
    </row>
    <row r="8" spans="1:8" x14ac:dyDescent="0.35">
      <c r="A8" t="s">
        <v>24</v>
      </c>
      <c r="B8">
        <v>7</v>
      </c>
      <c r="C8">
        <v>5</v>
      </c>
      <c r="D8">
        <f>AVERAGE(Tabela1[[#This Row],[NOTA 1]:[NOTA2]])</f>
        <v>6</v>
      </c>
      <c r="E8" t="str">
        <f>IF(Tabela1[[#This Row],[MÉDIA]]&gt;=6,"Aprovado","Reprovado")</f>
        <v>Aprovado</v>
      </c>
    </row>
    <row r="9" spans="1:8" x14ac:dyDescent="0.35">
      <c r="A9" t="s">
        <v>25</v>
      </c>
      <c r="B9">
        <v>4</v>
      </c>
      <c r="C9">
        <v>5</v>
      </c>
      <c r="D9">
        <f>AVERAGE(Tabela1[[#This Row],[NOTA 1]:[NOTA2]])</f>
        <v>4.5</v>
      </c>
      <c r="E9" t="str">
        <f>IF(Tabela1[[#This Row],[MÉDIA]]&gt;=6,"Aprovado","Reprovado")</f>
        <v>Reprovado</v>
      </c>
    </row>
    <row r="10" spans="1:8" x14ac:dyDescent="0.35">
      <c r="A10" t="s">
        <v>28</v>
      </c>
      <c r="B10">
        <v>7</v>
      </c>
      <c r="C10">
        <v>2</v>
      </c>
      <c r="D10">
        <f>AVERAGE(Tabela1[[#This Row],[NOTA 1]:[NOTA2]])</f>
        <v>4.5</v>
      </c>
      <c r="E10" t="str">
        <f>IF(Tabela1[[#This Row],[MÉDIA]]&gt;=6,"Aprovado","Reprovado")</f>
        <v>Reprovado</v>
      </c>
    </row>
  </sheetData>
  <phoneticPr fontId="1" type="noConversion"/>
  <conditionalFormatting sqref="E2:E10">
    <cfRule type="cellIs" dxfId="10" priority="1" operator="equal">
      <formula>"Reprovado"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17461-F680-4C37-B967-A5AF895989A2}">
  <sheetPr codeName="Planilha3"/>
  <dimension ref="B2:M13"/>
  <sheetViews>
    <sheetView zoomScale="130" zoomScaleNormal="130" workbookViewId="0">
      <selection activeCell="J5" sqref="J5"/>
    </sheetView>
  </sheetViews>
  <sheetFormatPr defaultRowHeight="14.5" x14ac:dyDescent="0.35"/>
  <cols>
    <col min="2" max="2" width="15.36328125" bestFit="1" customWidth="1"/>
    <col min="4" max="4" width="13" bestFit="1" customWidth="1"/>
    <col min="5" max="5" width="3.81640625" customWidth="1"/>
    <col min="6" max="6" width="6.7265625" bestFit="1" customWidth="1"/>
    <col min="7" max="7" width="15.36328125" bestFit="1" customWidth="1"/>
    <col min="8" max="8" width="3.7265625" customWidth="1"/>
    <col min="10" max="10" width="13" bestFit="1" customWidth="1"/>
    <col min="12" max="12" width="13.08984375" bestFit="1" customWidth="1"/>
    <col min="13" max="13" width="9" bestFit="1" customWidth="1"/>
  </cols>
  <sheetData>
    <row r="2" spans="2:13" x14ac:dyDescent="0.35">
      <c r="B2" t="s">
        <v>15</v>
      </c>
      <c r="C2" t="s">
        <v>29</v>
      </c>
      <c r="D2" t="s">
        <v>30</v>
      </c>
      <c r="F2" s="11" t="s">
        <v>43</v>
      </c>
      <c r="G2" s="12" t="s">
        <v>49</v>
      </c>
      <c r="I2" s="9" t="s">
        <v>44</v>
      </c>
      <c r="J2" s="10" t="str">
        <f>VLOOKUP(G2,Tabela3[#All],2,0)</f>
        <v>Jucás</v>
      </c>
      <c r="L2" s="16">
        <v>0</v>
      </c>
      <c r="M2" s="18">
        <v>0.02</v>
      </c>
    </row>
    <row r="3" spans="2:13" x14ac:dyDescent="0.35">
      <c r="B3" t="s">
        <v>31</v>
      </c>
      <c r="C3" t="s">
        <v>40</v>
      </c>
      <c r="D3" s="14">
        <v>40000</v>
      </c>
      <c r="I3" s="9" t="s">
        <v>12</v>
      </c>
      <c r="J3" s="15">
        <f>VLOOKUP(G2,Tabela3[#All],3,FALSE)</f>
        <v>18000</v>
      </c>
      <c r="L3" s="16">
        <v>5000</v>
      </c>
      <c r="M3" s="18">
        <v>0.05</v>
      </c>
    </row>
    <row r="4" spans="2:13" x14ac:dyDescent="0.35">
      <c r="B4" t="s">
        <v>32</v>
      </c>
      <c r="C4" t="s">
        <v>41</v>
      </c>
      <c r="D4" s="14">
        <v>7000</v>
      </c>
      <c r="I4" s="9" t="s">
        <v>45</v>
      </c>
      <c r="J4" s="20">
        <f>VLOOKUP(J3,L2:M5,2,TRUE)</f>
        <v>0.15</v>
      </c>
      <c r="L4" s="16">
        <v>10000</v>
      </c>
      <c r="M4" s="18">
        <v>0.1</v>
      </c>
    </row>
    <row r="5" spans="2:13" x14ac:dyDescent="0.35">
      <c r="B5" t="s">
        <v>48</v>
      </c>
      <c r="C5" t="s">
        <v>42</v>
      </c>
      <c r="D5" s="14">
        <v>12000</v>
      </c>
      <c r="F5" s="13" t="s">
        <v>47</v>
      </c>
      <c r="I5" s="8" t="s">
        <v>46</v>
      </c>
      <c r="J5" s="21">
        <f>J3*J4</f>
        <v>2700</v>
      </c>
      <c r="L5" s="17">
        <v>15000</v>
      </c>
      <c r="M5" s="19">
        <v>0.15</v>
      </c>
    </row>
    <row r="6" spans="2:13" x14ac:dyDescent="0.35">
      <c r="B6" t="s">
        <v>33</v>
      </c>
      <c r="C6" t="s">
        <v>40</v>
      </c>
      <c r="D6" s="14">
        <v>5300</v>
      </c>
    </row>
    <row r="7" spans="2:13" x14ac:dyDescent="0.35">
      <c r="B7" t="s">
        <v>34</v>
      </c>
      <c r="C7" t="s">
        <v>41</v>
      </c>
      <c r="D7" s="14">
        <v>12000</v>
      </c>
    </row>
    <row r="8" spans="2:13" x14ac:dyDescent="0.35">
      <c r="B8" t="s">
        <v>35</v>
      </c>
      <c r="C8" t="s">
        <v>42</v>
      </c>
      <c r="D8" s="14">
        <v>7000</v>
      </c>
    </row>
    <row r="9" spans="2:13" x14ac:dyDescent="0.35">
      <c r="B9" t="s">
        <v>36</v>
      </c>
      <c r="C9" t="s">
        <v>40</v>
      </c>
      <c r="D9" s="14">
        <v>6200</v>
      </c>
    </row>
    <row r="10" spans="2:13" x14ac:dyDescent="0.35">
      <c r="B10" t="s">
        <v>37</v>
      </c>
      <c r="C10" t="s">
        <v>41</v>
      </c>
      <c r="D10" s="14">
        <v>4500</v>
      </c>
    </row>
    <row r="11" spans="2:13" x14ac:dyDescent="0.35">
      <c r="B11" t="s">
        <v>38</v>
      </c>
      <c r="C11" t="s">
        <v>42</v>
      </c>
      <c r="D11" s="14">
        <v>7000</v>
      </c>
    </row>
    <row r="12" spans="2:13" x14ac:dyDescent="0.35">
      <c r="B12" t="s">
        <v>39</v>
      </c>
      <c r="C12" t="s">
        <v>40</v>
      </c>
      <c r="D12" s="14">
        <v>5000</v>
      </c>
    </row>
    <row r="13" spans="2:13" x14ac:dyDescent="0.35">
      <c r="B13" t="s">
        <v>49</v>
      </c>
      <c r="C13" t="s">
        <v>40</v>
      </c>
      <c r="D13" s="14">
        <v>18000</v>
      </c>
    </row>
  </sheetData>
  <phoneticPr fontId="1" type="noConversion"/>
  <dataValidations disablePrompts="1" count="1">
    <dataValidation type="list" allowBlank="1" showInputMessage="1" showErrorMessage="1" sqref="G2" xr:uid="{BE426108-EB09-4FEC-9A56-5A35EDFAA212}">
      <formula1>$B$3:$B$13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A7DE-546E-4096-A3A6-DE77DF7A6027}">
  <sheetPr codeName="Planilha4"/>
  <dimension ref="B2:N15"/>
  <sheetViews>
    <sheetView showGridLines="0" zoomScaleNormal="100" workbookViewId="0">
      <selection activeCell="G12" sqref="G12"/>
    </sheetView>
  </sheetViews>
  <sheetFormatPr defaultRowHeight="14.5" x14ac:dyDescent="0.35"/>
  <cols>
    <col min="1" max="1" width="2.7265625" customWidth="1"/>
    <col min="14" max="14" width="21.26953125" customWidth="1"/>
  </cols>
  <sheetData>
    <row r="2" spans="2:14" ht="23.5" x14ac:dyDescent="0.35">
      <c r="B2" s="35" t="s">
        <v>54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</row>
    <row r="4" spans="2:14" x14ac:dyDescent="0.35">
      <c r="B4" s="24" t="s">
        <v>15</v>
      </c>
      <c r="C4" s="24" t="s">
        <v>55</v>
      </c>
      <c r="D4" s="24" t="s">
        <v>56</v>
      </c>
      <c r="E4" s="24" t="s">
        <v>57</v>
      </c>
      <c r="F4" s="24" t="s">
        <v>58</v>
      </c>
      <c r="G4" s="24" t="s">
        <v>59</v>
      </c>
      <c r="H4" s="24" t="s">
        <v>60</v>
      </c>
      <c r="I4" s="24" t="s">
        <v>61</v>
      </c>
      <c r="J4" s="24" t="s">
        <v>62</v>
      </c>
      <c r="K4" s="24" t="s">
        <v>63</v>
      </c>
      <c r="L4" s="24" t="s">
        <v>64</v>
      </c>
      <c r="M4" s="24" t="s">
        <v>30</v>
      </c>
      <c r="N4" s="13" t="s">
        <v>67</v>
      </c>
    </row>
    <row r="5" spans="2:14" x14ac:dyDescent="0.35">
      <c r="B5" t="s">
        <v>21</v>
      </c>
      <c r="C5" t="s">
        <v>65</v>
      </c>
      <c r="D5" t="s">
        <v>65</v>
      </c>
      <c r="E5" t="s">
        <v>66</v>
      </c>
      <c r="F5" t="s">
        <v>65</v>
      </c>
      <c r="G5" t="s">
        <v>66</v>
      </c>
      <c r="H5" t="s">
        <v>65</v>
      </c>
      <c r="I5" t="s">
        <v>65</v>
      </c>
      <c r="J5" t="s">
        <v>65</v>
      </c>
      <c r="K5" t="s">
        <v>65</v>
      </c>
      <c r="L5" t="s">
        <v>65</v>
      </c>
      <c r="M5" s="23">
        <f>COUNTIF(Tabela2[[#This Row],[1]:[12]],"P")</f>
        <v>8</v>
      </c>
      <c r="N5" s="22">
        <f>Tabela2[[#This Row],[TOTAL]]/10</f>
        <v>0.8</v>
      </c>
    </row>
    <row r="6" spans="2:14" x14ac:dyDescent="0.35">
      <c r="B6" t="s">
        <v>22</v>
      </c>
      <c r="C6" t="s">
        <v>65</v>
      </c>
      <c r="D6" t="s">
        <v>65</v>
      </c>
      <c r="E6" t="s">
        <v>65</v>
      </c>
      <c r="F6" t="s">
        <v>65</v>
      </c>
      <c r="G6" t="s">
        <v>65</v>
      </c>
      <c r="H6" t="s">
        <v>66</v>
      </c>
      <c r="I6" t="s">
        <v>65</v>
      </c>
      <c r="J6" t="s">
        <v>65</v>
      </c>
      <c r="K6" t="s">
        <v>65</v>
      </c>
      <c r="L6" t="s">
        <v>65</v>
      </c>
      <c r="M6" s="23">
        <f>COUNTIF(Tabela2[[#This Row],[1]:[12]],"P")</f>
        <v>9</v>
      </c>
      <c r="N6" s="22">
        <f>Tabela2[[#This Row],[TOTAL]]/10</f>
        <v>0.9</v>
      </c>
    </row>
    <row r="7" spans="2:14" x14ac:dyDescent="0.35">
      <c r="B7" t="s">
        <v>23</v>
      </c>
      <c r="C7" t="s">
        <v>65</v>
      </c>
      <c r="D7" t="s">
        <v>66</v>
      </c>
      <c r="E7" t="s">
        <v>65</v>
      </c>
      <c r="F7" t="s">
        <v>65</v>
      </c>
      <c r="G7" t="s">
        <v>65</v>
      </c>
      <c r="H7" t="s">
        <v>65</v>
      </c>
      <c r="I7" t="s">
        <v>65</v>
      </c>
      <c r="J7" t="s">
        <v>65</v>
      </c>
      <c r="K7" t="s">
        <v>66</v>
      </c>
      <c r="L7" t="s">
        <v>65</v>
      </c>
      <c r="M7" s="23">
        <f>COUNTIF(Tabela2[[#This Row],[1]:[12]],"P")</f>
        <v>8</v>
      </c>
      <c r="N7" s="22">
        <f>Tabela2[[#This Row],[TOTAL]]/10</f>
        <v>0.8</v>
      </c>
    </row>
    <row r="8" spans="2:14" x14ac:dyDescent="0.35">
      <c r="B8" t="s">
        <v>24</v>
      </c>
      <c r="C8" t="s">
        <v>65</v>
      </c>
      <c r="D8" t="s">
        <v>65</v>
      </c>
      <c r="E8" t="s">
        <v>65</v>
      </c>
      <c r="F8" t="s">
        <v>65</v>
      </c>
      <c r="G8" t="s">
        <v>66</v>
      </c>
      <c r="H8" t="s">
        <v>65</v>
      </c>
      <c r="I8" t="s">
        <v>65</v>
      </c>
      <c r="J8" t="s">
        <v>65</v>
      </c>
      <c r="K8" t="s">
        <v>65</v>
      </c>
      <c r="L8" t="s">
        <v>65</v>
      </c>
      <c r="M8" s="23">
        <f>COUNTIF(Tabela2[[#This Row],[1]:[12]],"P")</f>
        <v>9</v>
      </c>
      <c r="N8" s="22">
        <f>Tabela2[[#This Row],[TOTAL]]/10</f>
        <v>0.9</v>
      </c>
    </row>
    <row r="9" spans="2:14" x14ac:dyDescent="0.35">
      <c r="B9" t="s">
        <v>25</v>
      </c>
      <c r="C9" t="s">
        <v>65</v>
      </c>
      <c r="D9" t="s">
        <v>65</v>
      </c>
      <c r="E9" t="s">
        <v>65</v>
      </c>
      <c r="F9" t="s">
        <v>66</v>
      </c>
      <c r="G9" t="s">
        <v>65</v>
      </c>
      <c r="H9" t="s">
        <v>65</v>
      </c>
      <c r="I9" t="s">
        <v>65</v>
      </c>
      <c r="J9" t="s">
        <v>65</v>
      </c>
      <c r="K9" t="s">
        <v>65</v>
      </c>
      <c r="L9" t="s">
        <v>65</v>
      </c>
      <c r="M9" s="23">
        <f>COUNTIF(Tabela2[[#This Row],[1]:[12]],"P")</f>
        <v>9</v>
      </c>
      <c r="N9" s="22">
        <f>Tabela2[[#This Row],[TOTAL]]/10</f>
        <v>0.9</v>
      </c>
    </row>
    <row r="10" spans="2:14" x14ac:dyDescent="0.35">
      <c r="B10" t="s">
        <v>28</v>
      </c>
      <c r="C10" t="s">
        <v>66</v>
      </c>
      <c r="D10" t="s">
        <v>65</v>
      </c>
      <c r="E10" t="s">
        <v>65</v>
      </c>
      <c r="F10" t="s">
        <v>65</v>
      </c>
      <c r="G10" t="s">
        <v>65</v>
      </c>
      <c r="H10" t="s">
        <v>65</v>
      </c>
      <c r="I10" t="s">
        <v>66</v>
      </c>
      <c r="J10" t="s">
        <v>66</v>
      </c>
      <c r="K10" t="s">
        <v>65</v>
      </c>
      <c r="L10" t="s">
        <v>65</v>
      </c>
      <c r="M10" s="23">
        <f>COUNTIF(Tabela2[[#This Row],[1]:[12]],"P")</f>
        <v>7</v>
      </c>
      <c r="N10" s="22">
        <f>Tabela2[[#This Row],[TOTAL]]/10</f>
        <v>0.7</v>
      </c>
    </row>
    <row r="11" spans="2:14" x14ac:dyDescent="0.35">
      <c r="B11" t="s">
        <v>50</v>
      </c>
      <c r="C11" t="s">
        <v>65</v>
      </c>
      <c r="D11" t="s">
        <v>65</v>
      </c>
      <c r="E11" t="s">
        <v>66</v>
      </c>
      <c r="F11" t="s">
        <v>65</v>
      </c>
      <c r="G11" t="s">
        <v>65</v>
      </c>
      <c r="H11" t="s">
        <v>65</v>
      </c>
      <c r="I11" t="s">
        <v>65</v>
      </c>
      <c r="J11" t="s">
        <v>65</v>
      </c>
      <c r="K11" t="s">
        <v>65</v>
      </c>
      <c r="L11" t="s">
        <v>65</v>
      </c>
      <c r="M11" s="23">
        <f>COUNTIF(Tabela2[[#This Row],[1]:[12]],"P")</f>
        <v>9</v>
      </c>
      <c r="N11" s="22">
        <f>Tabela2[[#This Row],[TOTAL]]/10</f>
        <v>0.9</v>
      </c>
    </row>
    <row r="12" spans="2:14" x14ac:dyDescent="0.35">
      <c r="B12" t="s">
        <v>51</v>
      </c>
      <c r="C12" t="s">
        <v>65</v>
      </c>
      <c r="D12" t="s">
        <v>65</v>
      </c>
      <c r="E12" t="s">
        <v>65</v>
      </c>
      <c r="F12" t="s">
        <v>65</v>
      </c>
      <c r="G12" t="s">
        <v>65</v>
      </c>
      <c r="H12" t="s">
        <v>65</v>
      </c>
      <c r="I12" t="s">
        <v>66</v>
      </c>
      <c r="J12" t="s">
        <v>65</v>
      </c>
      <c r="K12" t="s">
        <v>65</v>
      </c>
      <c r="L12" t="s">
        <v>65</v>
      </c>
      <c r="M12" s="23">
        <f>COUNTIF(Tabela2[[#This Row],[1]:[12]],"P")</f>
        <v>9</v>
      </c>
      <c r="N12" s="22">
        <f>Tabela2[[#This Row],[TOTAL]]/10</f>
        <v>0.9</v>
      </c>
    </row>
    <row r="13" spans="2:14" x14ac:dyDescent="0.35">
      <c r="B13" t="s">
        <v>52</v>
      </c>
      <c r="C13" t="s">
        <v>65</v>
      </c>
      <c r="D13" t="s">
        <v>65</v>
      </c>
      <c r="E13" t="s">
        <v>65</v>
      </c>
      <c r="F13" t="s">
        <v>65</v>
      </c>
      <c r="G13" t="s">
        <v>65</v>
      </c>
      <c r="H13" t="s">
        <v>65</v>
      </c>
      <c r="I13" t="s">
        <v>65</v>
      </c>
      <c r="J13" t="s">
        <v>65</v>
      </c>
      <c r="K13" t="s">
        <v>65</v>
      </c>
      <c r="L13" t="s">
        <v>66</v>
      </c>
      <c r="M13" s="23">
        <f>COUNTIF(Tabela2[[#This Row],[1]:[12]],"P")</f>
        <v>9</v>
      </c>
      <c r="N13" s="22">
        <f>Tabela2[[#This Row],[TOTAL]]/10</f>
        <v>0.9</v>
      </c>
    </row>
    <row r="14" spans="2:14" x14ac:dyDescent="0.35">
      <c r="B14" t="s">
        <v>53</v>
      </c>
      <c r="C14" t="s">
        <v>65</v>
      </c>
      <c r="D14" t="s">
        <v>65</v>
      </c>
      <c r="E14" t="s">
        <v>66</v>
      </c>
      <c r="F14" t="s">
        <v>65</v>
      </c>
      <c r="G14" t="s">
        <v>65</v>
      </c>
      <c r="H14" t="s">
        <v>65</v>
      </c>
      <c r="I14" t="s">
        <v>65</v>
      </c>
      <c r="J14" t="s">
        <v>65</v>
      </c>
      <c r="K14" t="s">
        <v>65</v>
      </c>
      <c r="L14" t="s">
        <v>65</v>
      </c>
      <c r="M14" s="23">
        <f>COUNTIF(Tabela2[[#This Row],[1]:[12]],"P")</f>
        <v>9</v>
      </c>
      <c r="N14" s="22">
        <f>Tabela2[[#This Row],[TOTAL]]/10</f>
        <v>0.9</v>
      </c>
    </row>
    <row r="15" spans="2:14" x14ac:dyDescent="0.35">
      <c r="B15" t="s">
        <v>68</v>
      </c>
      <c r="C15" t="s">
        <v>65</v>
      </c>
      <c r="D15" t="s">
        <v>65</v>
      </c>
      <c r="E15" t="s">
        <v>65</v>
      </c>
      <c r="F15" t="s">
        <v>65</v>
      </c>
      <c r="G15" t="s">
        <v>65</v>
      </c>
      <c r="H15" t="s">
        <v>66</v>
      </c>
      <c r="I15" t="s">
        <v>66</v>
      </c>
      <c r="J15" t="s">
        <v>66</v>
      </c>
      <c r="K15" t="s">
        <v>65</v>
      </c>
      <c r="M15" s="23">
        <f>COUNTIF(Tabela2[[#This Row],[1]:[12]],"P")</f>
        <v>6</v>
      </c>
      <c r="N15" s="22">
        <f>Tabela2[[#This Row],[TOTAL]]/10</f>
        <v>0.6</v>
      </c>
    </row>
  </sheetData>
  <mergeCells count="1">
    <mergeCell ref="B2:N2"/>
  </mergeCells>
  <phoneticPr fontId="1" type="noConversion"/>
  <conditionalFormatting sqref="C5:L15">
    <cfRule type="cellIs" dxfId="7" priority="4" operator="equal">
      <formula>"F"</formula>
    </cfRule>
  </conditionalFormatting>
  <conditionalFormatting sqref="N5:N15">
    <cfRule type="dataBar" priority="1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{F179A1F2-EC6B-47CB-B51D-9B804EB7BF63}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79A1F2-EC6B-47CB-B51D-9B804EB7BF6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N5:N15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9908-2CB1-47A7-BC10-468E4925A678}">
  <sheetPr codeName="Planilha5"/>
  <dimension ref="B2:H14"/>
  <sheetViews>
    <sheetView showGridLines="0" topLeftCell="A4" zoomScale="150" zoomScaleNormal="150" workbookViewId="0">
      <selection activeCell="E6" sqref="E6"/>
    </sheetView>
  </sheetViews>
  <sheetFormatPr defaultRowHeight="14.5" x14ac:dyDescent="0.35"/>
  <cols>
    <col min="3" max="3" width="10" bestFit="1" customWidth="1"/>
    <col min="4" max="4" width="13.26953125" customWidth="1"/>
    <col min="5" max="5" width="9.81640625" bestFit="1" customWidth="1"/>
    <col min="6" max="6" width="11.7265625" bestFit="1" customWidth="1"/>
    <col min="7" max="7" width="6.90625" bestFit="1" customWidth="1"/>
    <col min="8" max="8" width="11.54296875" bestFit="1" customWidth="1"/>
  </cols>
  <sheetData>
    <row r="2" spans="2:8" x14ac:dyDescent="0.35">
      <c r="G2" s="11" t="s">
        <v>88</v>
      </c>
      <c r="H2" s="26">
        <f ca="1">TODAY()</f>
        <v>45994</v>
      </c>
    </row>
    <row r="4" spans="2:8" x14ac:dyDescent="0.35">
      <c r="B4" s="27" t="s">
        <v>69</v>
      </c>
      <c r="C4" s="27" t="s">
        <v>70</v>
      </c>
      <c r="D4" s="27" t="s">
        <v>71</v>
      </c>
      <c r="E4" s="27" t="s">
        <v>72</v>
      </c>
      <c r="F4" s="27" t="s">
        <v>73</v>
      </c>
      <c r="G4" s="27" t="s">
        <v>74</v>
      </c>
      <c r="H4" s="27" t="s">
        <v>26</v>
      </c>
    </row>
    <row r="5" spans="2:8" x14ac:dyDescent="0.35">
      <c r="B5" t="s">
        <v>75</v>
      </c>
      <c r="C5" t="s">
        <v>84</v>
      </c>
      <c r="D5" s="25">
        <v>45991</v>
      </c>
      <c r="E5" t="s">
        <v>87</v>
      </c>
      <c r="F5" s="14">
        <v>600</v>
      </c>
      <c r="G5">
        <f ca="1">Tabela6[[#This Row],[VENCIMENTO]]-$H$2</f>
        <v>-3</v>
      </c>
      <c r="H5" t="str">
        <f ca="1">IF(Tabela6[[#This Row],[STATUS]]&lt;&gt;"PAGO",IF(Tabela6[[#This Row],[DIAS]]&lt;0,"ATRASADO",""),"")</f>
        <v>ATRASADO</v>
      </c>
    </row>
    <row r="6" spans="2:8" x14ac:dyDescent="0.35">
      <c r="B6" t="s">
        <v>17</v>
      </c>
      <c r="C6" t="s">
        <v>85</v>
      </c>
      <c r="D6" s="25">
        <v>45958</v>
      </c>
      <c r="E6" t="s">
        <v>86</v>
      </c>
      <c r="F6" s="14">
        <v>1200</v>
      </c>
      <c r="G6">
        <f ca="1">Tabela6[[#This Row],[VENCIMENTO]]-$H$2</f>
        <v>-36</v>
      </c>
      <c r="H6" t="str">
        <f>IF(Tabela6[[#This Row],[STATUS]]&lt;&gt;"PAGO",IF(Tabela6[[#This Row],[DIAS]]&lt;0,"ATRASADO",""),"")</f>
        <v/>
      </c>
    </row>
    <row r="7" spans="2:8" x14ac:dyDescent="0.35">
      <c r="B7" t="s">
        <v>76</v>
      </c>
      <c r="C7" t="s">
        <v>84</v>
      </c>
      <c r="D7" s="25">
        <v>45973</v>
      </c>
      <c r="E7" t="s">
        <v>86</v>
      </c>
      <c r="F7" s="14">
        <v>700</v>
      </c>
      <c r="G7">
        <f ca="1">Tabela6[[#This Row],[VENCIMENTO]]-$H$2</f>
        <v>-21</v>
      </c>
      <c r="H7" t="str">
        <f>IF(Tabela6[[#This Row],[STATUS]]&lt;&gt;"PAGO",IF(Tabela6[[#This Row],[DIAS]]&lt;0,"ATRASADO",""),"")</f>
        <v/>
      </c>
    </row>
    <row r="8" spans="2:8" x14ac:dyDescent="0.35">
      <c r="B8" t="s">
        <v>77</v>
      </c>
      <c r="C8" t="s">
        <v>85</v>
      </c>
      <c r="D8" s="25">
        <v>45958</v>
      </c>
      <c r="E8" t="s">
        <v>86</v>
      </c>
      <c r="F8" s="14">
        <v>450</v>
      </c>
      <c r="G8">
        <f ca="1">Tabela6[[#This Row],[VENCIMENTO]]-$H$2</f>
        <v>-36</v>
      </c>
      <c r="H8" t="str">
        <f>IF(Tabela6[[#This Row],[STATUS]]&lt;&gt;"PAGO",IF(Tabela6[[#This Row],[DIAS]]&lt;0,"ATRASADO",""),"")</f>
        <v/>
      </c>
    </row>
    <row r="9" spans="2:8" x14ac:dyDescent="0.35">
      <c r="B9" t="s">
        <v>78</v>
      </c>
      <c r="C9" t="s">
        <v>84</v>
      </c>
      <c r="D9" s="25">
        <v>45990</v>
      </c>
      <c r="E9" t="s">
        <v>86</v>
      </c>
      <c r="F9" s="14">
        <v>250</v>
      </c>
      <c r="G9">
        <f ca="1">Tabela6[[#This Row],[VENCIMENTO]]-$H$2</f>
        <v>-4</v>
      </c>
      <c r="H9" t="str">
        <f>IF(Tabela6[[#This Row],[STATUS]]&lt;&gt;"PAGO",IF(Tabela6[[#This Row],[DIAS]]&lt;0,"ATRASADO",""),"")</f>
        <v/>
      </c>
    </row>
    <row r="10" spans="2:8" x14ac:dyDescent="0.35">
      <c r="B10" t="s">
        <v>79</v>
      </c>
      <c r="C10" t="s">
        <v>85</v>
      </c>
      <c r="D10" s="25">
        <v>45991</v>
      </c>
      <c r="E10" t="s">
        <v>86</v>
      </c>
      <c r="F10" s="14">
        <v>400</v>
      </c>
      <c r="G10">
        <f ca="1">Tabela6[[#This Row],[VENCIMENTO]]-$H$2</f>
        <v>-3</v>
      </c>
      <c r="H10" t="str">
        <f>IF(Tabela6[[#This Row],[STATUS]]&lt;&gt;"PAGO",IF(Tabela6[[#This Row],[DIAS]]&lt;0,"ATRASADO",""),"")</f>
        <v/>
      </c>
    </row>
    <row r="11" spans="2:8" x14ac:dyDescent="0.35">
      <c r="B11" t="s">
        <v>80</v>
      </c>
      <c r="C11" t="s">
        <v>84</v>
      </c>
      <c r="D11" s="25">
        <v>45991</v>
      </c>
      <c r="E11" t="s">
        <v>87</v>
      </c>
      <c r="F11" s="14">
        <v>250</v>
      </c>
      <c r="G11">
        <f ca="1">Tabela6[[#This Row],[VENCIMENTO]]-$H$2</f>
        <v>-3</v>
      </c>
      <c r="H11" t="str">
        <f ca="1">IF(Tabela6[[#This Row],[STATUS]]&lt;&gt;"PAGO",IF(Tabela6[[#This Row],[DIAS]]&lt;0,"ATRASADO",""),"")</f>
        <v>ATRASADO</v>
      </c>
    </row>
    <row r="12" spans="2:8" x14ac:dyDescent="0.35">
      <c r="B12" t="s">
        <v>81</v>
      </c>
      <c r="C12" t="s">
        <v>85</v>
      </c>
      <c r="D12" s="25">
        <v>46019</v>
      </c>
      <c r="E12" t="s">
        <v>87</v>
      </c>
      <c r="F12" s="14">
        <v>400</v>
      </c>
      <c r="G12">
        <f ca="1">Tabela6[[#This Row],[VENCIMENTO]]-$H$2</f>
        <v>25</v>
      </c>
      <c r="H12" t="str">
        <f ca="1">IF(Tabela6[[#This Row],[STATUS]]&lt;&gt;"PAGO",IF(Tabela6[[#This Row],[DIAS]]&lt;0,"ATRASADO",""),"")</f>
        <v/>
      </c>
    </row>
    <row r="13" spans="2:8" x14ac:dyDescent="0.35">
      <c r="B13" t="s">
        <v>82</v>
      </c>
      <c r="C13" t="s">
        <v>84</v>
      </c>
      <c r="D13" s="25">
        <v>45973</v>
      </c>
      <c r="E13" t="s">
        <v>86</v>
      </c>
      <c r="F13" s="14">
        <v>500</v>
      </c>
      <c r="G13">
        <f ca="1">Tabela6[[#This Row],[VENCIMENTO]]-$H$2</f>
        <v>-21</v>
      </c>
      <c r="H13" t="str">
        <f>IF(Tabela6[[#This Row],[STATUS]]&lt;&gt;"PAGO",IF(Tabela6[[#This Row],[DIAS]]&lt;0,"ATRASADO",""),"")</f>
        <v/>
      </c>
    </row>
    <row r="14" spans="2:8" x14ac:dyDescent="0.35">
      <c r="B14" t="s">
        <v>83</v>
      </c>
      <c r="C14" t="s">
        <v>85</v>
      </c>
      <c r="D14" s="25">
        <v>45969</v>
      </c>
      <c r="E14" t="s">
        <v>86</v>
      </c>
      <c r="F14" s="14">
        <v>250</v>
      </c>
      <c r="G14">
        <f ca="1">Tabela6[[#This Row],[VENCIMENTO]]-$H$2</f>
        <v>-25</v>
      </c>
      <c r="H14" t="str">
        <f>IF(Tabela6[[#This Row],[STATUS]]&lt;&gt;"PAGO",IF(Tabela6[[#This Row],[DIAS]]&lt;0,"ATRASADO",""),"")</f>
        <v/>
      </c>
    </row>
  </sheetData>
  <phoneticPr fontId="1" type="noConversion"/>
  <conditionalFormatting sqref="B5:H14">
    <cfRule type="expression" dxfId="4" priority="1" stopIfTrue="1">
      <formula>$E5="PAGO"</formula>
    </cfRule>
    <cfRule type="expression" dxfId="3" priority="2">
      <formula>$H5="ATRASADO"</formula>
    </cfRule>
  </conditionalFormatting>
  <dataValidations count="2">
    <dataValidation type="list" allowBlank="1" showInputMessage="1" showErrorMessage="1" sqref="C5:C14" xr:uid="{2562D2E6-60D7-4156-B452-1CB44A572EC2}">
      <formula1>"A PAGAR,A RECEBER"</formula1>
    </dataValidation>
    <dataValidation type="list" allowBlank="1" showInputMessage="1" showErrorMessage="1" sqref="E5:E14" xr:uid="{8B825379-DC3C-4E94-8DA3-2A0A517F3856}">
      <formula1>"PAGO,PENDENTE"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4CFD-5245-4452-A2D8-7ADC259D84DA}">
  <sheetPr codeName="Planilha6"/>
  <dimension ref="B2:S7"/>
  <sheetViews>
    <sheetView showGridLines="0" tabSelected="1" zoomScale="160" zoomScaleNormal="160" workbookViewId="0">
      <selection activeCell="B2" sqref="B2:M2"/>
    </sheetView>
  </sheetViews>
  <sheetFormatPr defaultRowHeight="14.5" x14ac:dyDescent="0.35"/>
  <cols>
    <col min="2" max="2" width="1.81640625" customWidth="1"/>
    <col min="3" max="3" width="3.453125" customWidth="1"/>
    <col min="4" max="4" width="10.1796875" bestFit="1" customWidth="1"/>
    <col min="9" max="13" width="2.6328125" customWidth="1"/>
    <col min="14" max="14" width="5.90625" customWidth="1"/>
  </cols>
  <sheetData>
    <row r="2" spans="2:19" ht="18.5" x14ac:dyDescent="0.45">
      <c r="B2" s="36" t="s">
        <v>90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8"/>
      <c r="P2" s="6" t="s">
        <v>104</v>
      </c>
      <c r="S2" s="34" t="s">
        <v>103</v>
      </c>
    </row>
    <row r="3" spans="2:19" x14ac:dyDescent="0.35">
      <c r="B3" s="39" t="s">
        <v>89</v>
      </c>
      <c r="C3" s="40"/>
      <c r="D3" s="41"/>
      <c r="E3" s="28" t="s">
        <v>93</v>
      </c>
      <c r="F3" s="28" t="s">
        <v>91</v>
      </c>
      <c r="G3" s="28" t="s">
        <v>94</v>
      </c>
      <c r="H3" s="28" t="s">
        <v>92</v>
      </c>
      <c r="I3" s="39" t="s">
        <v>95</v>
      </c>
      <c r="J3" s="40"/>
      <c r="K3" s="40"/>
      <c r="L3" s="40"/>
      <c r="M3" s="41"/>
    </row>
    <row r="4" spans="2:19" x14ac:dyDescent="0.35">
      <c r="B4" s="30">
        <f>_xlfn.RANK.EQ(E4,$E$4:$E$7)</f>
        <v>1</v>
      </c>
      <c r="C4" s="29" t="e" vm="1">
        <v>#VALUE!</v>
      </c>
      <c r="D4" s="31" t="s">
        <v>99</v>
      </c>
      <c r="E4" s="32">
        <f>F4*3+G4</f>
        <v>99</v>
      </c>
      <c r="F4" s="28">
        <v>29</v>
      </c>
      <c r="G4" s="28">
        <v>12</v>
      </c>
      <c r="H4" s="28">
        <v>7</v>
      </c>
      <c r="I4" s="30">
        <v>1</v>
      </c>
      <c r="J4" s="29">
        <v>1</v>
      </c>
      <c r="K4" s="29">
        <v>1</v>
      </c>
      <c r="L4" s="29">
        <v>1</v>
      </c>
      <c r="M4" s="31">
        <v>1</v>
      </c>
      <c r="N4" s="11">
        <v>1</v>
      </c>
      <c r="O4" t="s">
        <v>100</v>
      </c>
    </row>
    <row r="5" spans="2:19" x14ac:dyDescent="0.35">
      <c r="B5" s="30">
        <f>_xlfn.RANK.EQ(E5,$E$4:$E$7)</f>
        <v>2</v>
      </c>
      <c r="C5" s="29" t="e" vm="2">
        <v>#VALUE!</v>
      </c>
      <c r="D5" s="31" t="s">
        <v>97</v>
      </c>
      <c r="E5" s="32">
        <f>F5*3+G5</f>
        <v>72</v>
      </c>
      <c r="F5" s="28">
        <v>20</v>
      </c>
      <c r="G5" s="28">
        <v>12</v>
      </c>
      <c r="H5" s="28">
        <v>5</v>
      </c>
      <c r="I5" s="30">
        <v>1</v>
      </c>
      <c r="J5" s="29">
        <v>1</v>
      </c>
      <c r="K5" s="29">
        <v>1</v>
      </c>
      <c r="L5" s="29">
        <v>1</v>
      </c>
      <c r="M5" s="31">
        <v>1</v>
      </c>
      <c r="N5" s="33">
        <v>0</v>
      </c>
      <c r="O5" t="s">
        <v>101</v>
      </c>
      <c r="Q5" t="s">
        <v>103</v>
      </c>
    </row>
    <row r="6" spans="2:19" x14ac:dyDescent="0.35">
      <c r="B6" s="30">
        <f>_xlfn.RANK.EQ(E6,$E$4:$E$7)</f>
        <v>3</v>
      </c>
      <c r="C6" s="29" t="e" vm="3">
        <v>#VALUE!</v>
      </c>
      <c r="D6" s="31" t="s">
        <v>96</v>
      </c>
      <c r="E6" s="32">
        <f>F6*3+G6</f>
        <v>69</v>
      </c>
      <c r="F6" s="28">
        <v>20</v>
      </c>
      <c r="G6" s="28">
        <v>9</v>
      </c>
      <c r="H6" s="28">
        <v>5</v>
      </c>
      <c r="I6" s="30">
        <v>1</v>
      </c>
      <c r="J6" s="29">
        <v>1</v>
      </c>
      <c r="K6" s="29">
        <v>-1</v>
      </c>
      <c r="L6" s="29">
        <v>1</v>
      </c>
      <c r="M6" s="31">
        <v>0</v>
      </c>
      <c r="N6" s="33">
        <v>-1</v>
      </c>
      <c r="O6" t="s">
        <v>102</v>
      </c>
    </row>
    <row r="7" spans="2:19" x14ac:dyDescent="0.35">
      <c r="B7" s="30">
        <f>_xlfn.RANK.EQ(E7,$E$4:$E$7)</f>
        <v>4</v>
      </c>
      <c r="C7" s="29" t="e" vm="4">
        <v>#VALUE!</v>
      </c>
      <c r="D7" s="31" t="s">
        <v>98</v>
      </c>
      <c r="E7" s="32">
        <f>F7*3+G7</f>
        <v>52</v>
      </c>
      <c r="F7" s="28">
        <v>15</v>
      </c>
      <c r="G7" s="28">
        <v>7</v>
      </c>
      <c r="H7" s="28">
        <v>8</v>
      </c>
      <c r="I7" s="30">
        <v>-1</v>
      </c>
      <c r="J7" s="29">
        <v>-1</v>
      </c>
      <c r="K7" s="29">
        <v>0</v>
      </c>
      <c r="L7" s="29">
        <v>0</v>
      </c>
      <c r="M7" s="31">
        <v>-1</v>
      </c>
    </row>
  </sheetData>
  <sortState xmlns:xlrd2="http://schemas.microsoft.com/office/spreadsheetml/2017/richdata2" ref="B4:M7">
    <sortCondition ref="B4:B7"/>
  </sortState>
  <mergeCells count="3">
    <mergeCell ref="B2:M2"/>
    <mergeCell ref="B3:D3"/>
    <mergeCell ref="I3:M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55B7633-3A7F-4298-BD57-2E1B5583CD35}">
            <x14:iconSet iconSet="3Symbols" showValue="0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0"/>
              <x14:cfIcon iconSet="4RedToBlack" iconId="1"/>
              <x14:cfIcon iconSet="3Symbols" iconId="2"/>
            </x14:iconSet>
          </x14:cfRule>
          <xm:sqref>I4:M7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Fundamentos</vt:lpstr>
      <vt:lpstr>Condicionais</vt:lpstr>
      <vt:lpstr>Busca</vt:lpstr>
      <vt:lpstr>Frequência</vt:lpstr>
      <vt:lpstr>Data</vt:lpstr>
      <vt:lpstr>Brasileirão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emanuel quintino</dc:creator>
  <cp:lastModifiedBy>emanuel quintino</cp:lastModifiedBy>
  <cp:lastPrinted>2025-11-26T23:57:42Z</cp:lastPrinted>
  <dcterms:created xsi:type="dcterms:W3CDTF">2025-11-17T22:08:17Z</dcterms:created>
  <dcterms:modified xsi:type="dcterms:W3CDTF">2025-12-03T22:18:07Z</dcterms:modified>
</cp:coreProperties>
</file>