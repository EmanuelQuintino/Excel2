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40cbc61c02823304/Área de Trabalho/Excel/"/>
    </mc:Choice>
  </mc:AlternateContent>
  <xr:revisionPtr revIDLastSave="833" documentId="8_{53F67187-2DD5-4755-8E40-D7151524EAAB}" xr6:coauthVersionLast="47" xr6:coauthVersionMax="47" xr10:uidLastSave="{A259589D-9FB9-4F1E-9C35-EEA64D761613}"/>
  <bookViews>
    <workbookView xWindow="-110" yWindow="-110" windowWidth="19420" windowHeight="10300" xr2:uid="{04477921-83DF-4918-8EB4-DFE64C007277}"/>
  </bookViews>
  <sheets>
    <sheet name="Relatório" sheetId="1" r:id="rId1"/>
    <sheet name="Configs" sheetId="2" r:id="rId2"/>
  </sheets>
  <definedNames>
    <definedName name="CLIENTES">Tabela8[Clientes]</definedName>
    <definedName name="FILIAIS">Tabela28[Filiais]</definedName>
    <definedName name="VENDEDORES">Tabela9[Vendedores]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2" i="1"/>
  <c r="K24" i="1"/>
  <c r="K25" i="1"/>
  <c r="K26" i="1"/>
  <c r="K27" i="1"/>
  <c r="K28" i="1"/>
  <c r="K29" i="1"/>
  <c r="K30" i="1"/>
  <c r="K31" i="1"/>
  <c r="K32" i="1"/>
  <c r="K33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4" i="1"/>
  <c r="K55" i="1"/>
  <c r="K56" i="1"/>
  <c r="K57" i="1"/>
  <c r="K58" i="1"/>
  <c r="K59" i="1"/>
  <c r="K60" i="1"/>
  <c r="K62" i="1"/>
  <c r="K64" i="1"/>
  <c r="K65" i="1"/>
  <c r="K67" i="1"/>
  <c r="K68" i="1"/>
  <c r="K69" i="1"/>
  <c r="K70" i="1"/>
  <c r="K71" i="1"/>
  <c r="K72" i="1"/>
  <c r="K73" i="1"/>
  <c r="K74" i="1"/>
  <c r="K75" i="1"/>
  <c r="K76" i="1"/>
  <c r="K80" i="1"/>
  <c r="K81" i="1"/>
  <c r="K82" i="1"/>
  <c r="K83" i="1"/>
  <c r="K84" i="1"/>
  <c r="K86" i="1"/>
  <c r="K88" i="1"/>
  <c r="K89" i="1"/>
  <c r="K90" i="1"/>
  <c r="K91" i="1"/>
  <c r="K92" i="1"/>
  <c r="K93" i="1"/>
  <c r="K94" i="1"/>
  <c r="K95" i="1"/>
  <c r="K96" i="1"/>
  <c r="K97" i="1"/>
  <c r="K98" i="1"/>
  <c r="K99" i="1"/>
  <c r="K13" i="1"/>
  <c r="K20" i="1"/>
  <c r="K21" i="1"/>
  <c r="K23" i="1"/>
  <c r="K34" i="1"/>
  <c r="K35" i="1"/>
  <c r="K36" i="1"/>
  <c r="K37" i="1"/>
  <c r="K38" i="1"/>
  <c r="K39" i="1"/>
  <c r="K53" i="1"/>
  <c r="K61" i="1"/>
  <c r="K63" i="1"/>
  <c r="K66" i="1"/>
  <c r="K77" i="1"/>
  <c r="K78" i="1"/>
  <c r="K79" i="1"/>
  <c r="K85" i="1"/>
  <c r="K8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emanuel quintino</author>
  </authors>
  <commentList>
    <comment ref="B2" authorId="0" shapeId="0" xr:uid="{F9DCB713-835C-45C3-A0B6-66AEA23A455B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Procurar nome do produto com base no código</t>
        </r>
      </text>
    </comment>
    <comment ref="C2" authorId="0" shapeId="0" xr:uid="{49F88704-41DD-4843-A61D-C09CD10270C2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Criar lista de filiais e validar coluna</t>
        </r>
      </text>
    </comment>
    <comment ref="D2" authorId="0" shapeId="0" xr:uid="{31666681-13FD-4186-8EB3-719E59E46168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Verificar se há duplicatas</t>
        </r>
      </text>
    </comment>
    <comment ref="E2" authorId="0" shapeId="0" xr:uid="{9F950CF0-ED94-4668-91D6-EB1511DC0C04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Formatar como data</t>
        </r>
      </text>
    </comment>
    <comment ref="F2" authorId="0" shapeId="0" xr:uid="{BD2AC3C8-EFE0-452E-94E2-469311FDD399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Adicionar validação com lista de clientes</t>
        </r>
      </text>
    </comment>
    <comment ref="G2" authorId="0" shapeId="0" xr:uid="{6BBFCB25-7D66-4500-821D-3B43294BB8F8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Adicionar validação com lista de vendedores</t>
        </r>
      </text>
    </comment>
    <comment ref="H2" authorId="0" shapeId="0" xr:uid="{091FB23C-D0A1-4888-8FCC-B239C3CA6C37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Formatar coluna para R$</t>
        </r>
      </text>
    </comment>
    <comment ref="J2" authorId="0" shapeId="0" xr:uid="{AE87F9F3-9504-4401-B63D-3EC9510B0D8C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Calcular preço unitário</t>
        </r>
      </text>
    </comment>
    <comment ref="K2" authorId="0" shapeId="0" xr:uid="{88B83909-6C40-4E84-8307-0834A0C35333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Verificar SE preço unitário está maior que 2</t>
        </r>
      </text>
    </comment>
    <comment ref="N2" authorId="0" shapeId="0" xr:uid="{FB1E5C6E-D6C2-4D7D-86C2-F26584977176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Trazer 1, 2 e 3 MAIOR venda</t>
        </r>
      </text>
    </comment>
    <comment ref="Q2" authorId="0" shapeId="0" xr:uid="{C19EB037-B93F-4102-A78C-E7867FB99827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Trazer SOMA por produto</t>
        </r>
      </text>
    </comment>
    <comment ref="T2" authorId="0" shapeId="0" xr:uid="{FC3897DA-C102-4F10-A62A-E8BC77B43DFC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Trazer MÉDIA por cliente</t>
        </r>
      </text>
    </comment>
    <comment ref="W2" authorId="0" shapeId="0" xr:uid="{E2E0D1C6-9AD8-436A-A474-301F9BB9AB40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Procurar nome do produto com base no código</t>
        </r>
      </text>
    </comment>
    <comment ref="Y2" authorId="0" shapeId="0" xr:uid="{20EEF742-9991-4D2A-9D3C-ED600F97C8C4}">
      <text>
        <r>
          <rPr>
            <b/>
            <sz val="9"/>
            <color indexed="81"/>
            <rFont val="Segoe UI"/>
            <charset val="1"/>
          </rPr>
          <t>emanuel quintino:</t>
        </r>
        <r>
          <rPr>
            <sz val="9"/>
            <color indexed="81"/>
            <rFont val="Segoe UI"/>
            <charset val="1"/>
          </rPr>
          <t xml:space="preserve">
Calcular valor com base no produto e na filial</t>
        </r>
      </text>
    </comment>
  </commentList>
</comments>
</file>

<file path=xl/sharedStrings.xml><?xml version="1.0" encoding="utf-8"?>
<sst xmlns="http://schemas.openxmlformats.org/spreadsheetml/2006/main" count="353" uniqueCount="34">
  <si>
    <t>Filial</t>
  </si>
  <si>
    <t>Data</t>
  </si>
  <si>
    <t>Cliente</t>
  </si>
  <si>
    <t>Vendedor</t>
  </si>
  <si>
    <t>Valor</t>
  </si>
  <si>
    <t xml:space="preserve">Rondonópolis </t>
  </si>
  <si>
    <t>ClienteA</t>
  </si>
  <si>
    <t>João</t>
  </si>
  <si>
    <t>Cuiabá</t>
  </si>
  <si>
    <t>ClienteB</t>
  </si>
  <si>
    <t>André</t>
  </si>
  <si>
    <t>Primavera</t>
  </si>
  <si>
    <t>ClienteC</t>
  </si>
  <si>
    <t>Ricardo</t>
  </si>
  <si>
    <t>Paulo</t>
  </si>
  <si>
    <t>Rondonópolis</t>
  </si>
  <si>
    <t>ClienteD</t>
  </si>
  <si>
    <t>ClienteE</t>
  </si>
  <si>
    <t>Soja</t>
  </si>
  <si>
    <t>Milho</t>
  </si>
  <si>
    <t>Algodão</t>
  </si>
  <si>
    <t>Volume</t>
  </si>
  <si>
    <t>Média</t>
  </si>
  <si>
    <t>P. Unitário</t>
  </si>
  <si>
    <t>Status</t>
  </si>
  <si>
    <t>Ordem</t>
  </si>
  <si>
    <t>Venda</t>
  </si>
  <si>
    <t>Produto</t>
  </si>
  <si>
    <t>Código</t>
  </si>
  <si>
    <t>Nota</t>
  </si>
  <si>
    <t>Filiais</t>
  </si>
  <si>
    <t>Clientes</t>
  </si>
  <si>
    <t>Vendedores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</si>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</sst>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3" fillId="2" borderId="1" xfId="0" applyFont="1" applyFill="1" applyBorder="1"/>
    <xf numFmtId="0" fontId="3" fillId="2" borderId="0" xfId="0" applyFont="1" applyFill="1"/>
    <xf numFmtId="43" fontId="0" fillId="0" borderId="0" xfId="0" applyNumberFormat="1"/>
    <xf numFmtId="44" fontId="0" fillId="0" borderId="0" xfId="2" applyFont="1"/>
    <xf numFmtId="0" fontId="6" fillId="2" borderId="2" xfId="0" applyFont="1" applyFill="1" applyBorder="1"/>
    <xf numFmtId="44" fontId="0" fillId="0" borderId="1" xfId="2" applyFont="1" applyBorder="1"/>
    <xf numFmtId="0" fontId="0" fillId="0" borderId="0" xfId="2" applyNumberFormat="1" applyFont="1"/>
    <xf numFmtId="0" fontId="0" fillId="0" borderId="0" xfId="1" applyNumberFormat="1" applyFont="1"/>
  </cellXfs>
  <cellStyles count="3">
    <cellStyle name="Moeda" xfId="2" builtinId="4"/>
    <cellStyle name="Normal" xfId="0" builtinId="0"/>
    <cellStyle name="Vírgula" xfId="1" builtinId="3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top style="thin">
          <color theme="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top style="thin">
          <color theme="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theme="5"/>
          <bgColor theme="5"/>
        </patternFill>
      </fill>
    </dxf>
    <dxf>
      <border outline="0">
        <left style="thin">
          <color theme="5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border diagonalUp="0" diagonalDown="0">
        <left/>
        <right/>
        <top style="thin">
          <color theme="5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top style="thin">
          <color theme="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5"/>
          <bgColor theme="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0E3A9-3C89-4893-83DF-D5B37E822FB6}" name="fContabilidade" displayName="fContabilidade" ref="A1:K99" totalsRowShown="0" headerRowDxfId="34">
  <autoFilter ref="A1:K99" xr:uid="{5DB7D5CA-E954-4997-B4EC-73DFA26F1040}"/>
  <tableColumns count="11">
    <tableColumn id="1" xr3:uid="{507E6C5A-0569-4E37-A5D1-385DA24668EE}" name="Código"/>
    <tableColumn id="9" xr3:uid="{814A4F94-ABB7-4F2D-8FE5-115AEF36FD71}" name="Produto" dataDxfId="33"/>
    <tableColumn id="3" xr3:uid="{BC6EA8E7-B6ED-48AB-B5FF-DEA1997B8E89}" name="Filial"/>
    <tableColumn id="4" xr3:uid="{DCFAF6E7-AD01-4A0C-8335-42DD84A09AB9}" name="Nota"/>
    <tableColumn id="5" xr3:uid="{1880693E-E340-4FBC-85B8-CBF917D2707F}" name="Data" dataDxfId="32"/>
    <tableColumn id="6" xr3:uid="{5F64C68D-B324-484B-8BCE-9AAF6BE6F010}" name="Cliente"/>
    <tableColumn id="7" xr3:uid="{5D4ED592-9B38-4768-9599-7721F083FED9}" name="Vendedor"/>
    <tableColumn id="8" xr3:uid="{9D7DE939-FBA9-4291-A0B0-135984E6BA54}" name="Valor" dataDxfId="31"/>
    <tableColumn id="2" xr3:uid="{B3AE442A-D92E-4A94-965C-3DDC9741071D}" name="Volume" dataDxfId="30"/>
    <tableColumn id="10" xr3:uid="{02621086-F310-42EB-8727-73D6A0290805}" name="P. Unitário" dataDxfId="29"/>
    <tableColumn id="11" xr3:uid="{FBF762FE-191C-41F9-A061-6149FAC361BD}" name="Status" dataDxfId="28">
      <calculatedColumnFormula>IF(fContabilidade[[#This Row],[P. Unitário]]&gt;2,"Verificar","")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E13B9D-B979-4A26-93BA-6F853D90FE6B}" name="Tabela3" displayName="Tabela3" ref="P1:Q4" totalsRowShown="0" headerRowDxfId="27" tableBorderDxfId="26">
  <autoFilter ref="P1:Q4" xr:uid="{A0E13B9D-B979-4A26-93BA-6F853D90FE6B}"/>
  <tableColumns count="2">
    <tableColumn id="1" xr3:uid="{570A6416-426B-4BDE-AF07-96512A316749}" name="Produto" dataDxfId="25"/>
    <tableColumn id="2" xr3:uid="{BBE7E7AE-CDF0-4C2B-B6D8-E92219DC4F27}" name="Soma" dataDxfId="24" dataCellStyle="Moeda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ACAB1-3430-4DA6-8042-E5A6F33A363B}" name="Tabela4" displayName="Tabela4" ref="S1:T6" totalsRowShown="0" headerRowDxfId="23">
  <autoFilter ref="S1:T6" xr:uid="{943ACAB1-3430-4DA6-8042-E5A6F33A363B}"/>
  <tableColumns count="2">
    <tableColumn id="1" xr3:uid="{CB72E09A-6B44-4610-B795-AA4F4DF3AD05}" name="Cliente" dataDxfId="22"/>
    <tableColumn id="2" xr3:uid="{6CACFA3A-DD12-43A9-857E-197C676C2B95}" name="Média" dataDxfId="21" dataCellStyle="Moeda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6BB562-7FCF-4A5C-BFFF-E32774848BA1}" name="Tabela5" displayName="Tabela5" ref="V1:Y11" totalsRowShown="0" headerRowDxfId="20" tableBorderDxfId="19">
  <autoFilter ref="V1:Y11" xr:uid="{BE6BB562-7FCF-4A5C-BFFF-E32774848BA1}"/>
  <tableColumns count="4">
    <tableColumn id="1" xr3:uid="{165B7089-9D1E-42EB-9020-76616BA02137}" name="Código" dataDxfId="18"/>
    <tableColumn id="2" xr3:uid="{CDFA7860-264A-45AB-B203-984359B11FE1}" name="Produto" dataDxfId="17"/>
    <tableColumn id="3" xr3:uid="{B2465182-E44D-49AF-B059-04AE82EE6F65}" name="Filial" dataDxfId="16"/>
    <tableColumn id="4" xr3:uid="{55F471D3-E20B-499E-BABD-282EEA50AB69}" name="Valor" dataDxfId="15" dataCellStyle="Moeda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85D1FF-06D7-4042-9320-985302FF05CA}" name="Tabela37" displayName="Tabela37" ref="M1:N4" totalsRowShown="0" headerRowDxfId="14" tableBorderDxfId="13">
  <autoFilter ref="M1:N4" xr:uid="{E885D1FF-06D7-4042-9320-985302FF05CA}"/>
  <tableColumns count="2">
    <tableColumn id="1" xr3:uid="{59B8D6B0-F731-49A3-B215-819951B8DFCC}" name="Ordem" dataDxfId="12"/>
    <tableColumn id="2" xr3:uid="{3313211F-F856-47C8-90AC-66A198266AD1}" name="Venda" dataDxfId="11" dataCellStyle="Moeda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A6E88-6484-45DA-8DF2-CED2CDAA2B24}" name="Tabela2" displayName="Tabela2" ref="A1:B4" totalsRowShown="0" tableBorderDxfId="10">
  <autoFilter ref="A1:B4" xr:uid="{B7EC75B5-455B-431E-B402-98527DF8E11C}"/>
  <tableColumns count="2">
    <tableColumn id="1" xr3:uid="{E6206F4E-412B-4486-B729-F8D1D3DF5085}" name="Código" dataDxfId="9"/>
    <tableColumn id="2" xr3:uid="{1455436C-E75A-41F7-9420-65730A19A537}" name="Produto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85BED2-DC23-4B1E-824F-9A0BD479110E}" name="Tabela28" displayName="Tabela28" ref="D1:D4" totalsRowShown="0" tableBorderDxfId="8">
  <autoFilter ref="D1:D4" xr:uid="{EF85BED2-DC23-4B1E-824F-9A0BD479110E}"/>
  <tableColumns count="1">
    <tableColumn id="2" xr3:uid="{8AB7D0E2-1F1B-4755-9327-984B11A966E9}" name="Filiais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8617E8-6834-40BE-8F3E-7B2AC35328D5}" name="Tabela8" displayName="Tabela8" ref="F1:F6" totalsRowShown="0" headerRowDxfId="7" dataDxfId="6" tableBorderDxfId="5">
  <autoFilter ref="F1:F6" xr:uid="{748617E8-6834-40BE-8F3E-7B2AC35328D5}"/>
  <tableColumns count="1">
    <tableColumn id="1" xr3:uid="{C2317CFA-DE1C-4E07-AF54-6240843316FF}" name="Clientes" dataDxfId="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436939-3E80-4749-B693-E6770E43986C}" name="Tabela9" displayName="Tabela9" ref="H1:H5" totalsRowShown="0" headerRowDxfId="3" dataDxfId="2" tableBorderDxfId="1">
  <autoFilter ref="H1:H5" xr:uid="{97436939-3E80-4749-B693-E6770E43986C}"/>
  <tableColumns count="1">
    <tableColumn id="1" xr3:uid="{63F0673D-6DCB-4EEC-9489-C179BE53589B}" name="Vendedores" dataDxfId="0"/>
  </tableColumns>
  <tableStyleInfo name="TableStyleLight10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Íon - Sala da Diretoria">
  <a:themeElements>
    <a:clrScheme name="Íon - Sala da Diretoria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Íon - Sala da Diretoria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Íon - Sala da Diretoria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8C18-FEC7-4378-AEC6-D3710420A486}">
  <sheetPr codeName="Planilha1"/>
  <dimension ref="A1:Y99"/>
  <sheetViews>
    <sheetView showGridLines="0" tabSelected="1" zoomScale="133" zoomScaleNormal="150" workbookViewId="0">
      <selection activeCell="W1" sqref="W1"/>
    </sheetView>
  </sheetViews>
  <sheetFormatPr defaultRowHeight="13.5" x14ac:dyDescent="0.25"/>
  <cols>
    <col min="1" max="1" width="9.5" bestFit="1" customWidth="1"/>
    <col min="2" max="2" width="9.6640625" bestFit="1" customWidth="1"/>
    <col min="3" max="3" width="13.5" bestFit="1" customWidth="1"/>
    <col min="4" max="4" width="7.1640625" bestFit="1" customWidth="1"/>
    <col min="5" max="5" width="10.6640625" bestFit="1" customWidth="1"/>
    <col min="6" max="6" width="9.08203125" bestFit="1" customWidth="1"/>
    <col min="7" max="7" width="11.75" bestFit="1" customWidth="1"/>
    <col min="8" max="8" width="12.58203125" bestFit="1" customWidth="1"/>
    <col min="9" max="9" width="9.6640625" bestFit="1" customWidth="1"/>
    <col min="10" max="10" width="11.5" bestFit="1" customWidth="1"/>
    <col min="11" max="11" width="9.33203125" bestFit="1" customWidth="1"/>
    <col min="12" max="13" width="9.6640625" customWidth="1"/>
    <col min="14" max="14" width="13.4140625" bestFit="1" customWidth="1"/>
    <col min="16" max="16" width="21.83203125" customWidth="1"/>
    <col min="17" max="17" width="14.6640625" bestFit="1" customWidth="1"/>
    <col min="19" max="19" width="8.83203125" customWidth="1"/>
    <col min="20" max="20" width="14" bestFit="1" customWidth="1"/>
    <col min="22" max="22" width="16.08203125" customWidth="1"/>
    <col min="23" max="23" width="21.83203125" customWidth="1"/>
    <col min="24" max="24" width="13.83203125" bestFit="1" customWidth="1"/>
    <col min="25" max="25" width="14.08203125" bestFit="1" customWidth="1"/>
  </cols>
  <sheetData>
    <row r="1" spans="1:25" ht="14" x14ac:dyDescent="0.3">
      <c r="A1" s="1" t="s">
        <v>28</v>
      </c>
      <c r="B1" s="1" t="s">
        <v>27</v>
      </c>
      <c r="C1" s="1" t="s">
        <v>0</v>
      </c>
      <c r="D1" s="1" t="s">
        <v>29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21</v>
      </c>
      <c r="J1" s="1" t="s">
        <v>23</v>
      </c>
      <c r="K1" s="1" t="s">
        <v>24</v>
      </c>
      <c r="L1" s="1"/>
      <c r="M1" s="4" t="s">
        <v>25</v>
      </c>
      <c r="N1" s="4" t="s">
        <v>26</v>
      </c>
      <c r="P1" s="4" t="s">
        <v>27</v>
      </c>
      <c r="Q1" s="4" t="s">
        <v>33</v>
      </c>
      <c r="S1" s="3" t="s">
        <v>2</v>
      </c>
      <c r="T1" s="4" t="s">
        <v>22</v>
      </c>
      <c r="V1" s="3" t="s">
        <v>28</v>
      </c>
      <c r="W1" s="3" t="s">
        <v>27</v>
      </c>
      <c r="X1" s="3" t="s">
        <v>0</v>
      </c>
      <c r="Y1" s="4" t="s">
        <v>4</v>
      </c>
    </row>
    <row r="2" spans="1:25" x14ac:dyDescent="0.25">
      <c r="A2">
        <v>456</v>
      </c>
      <c r="C2" t="s">
        <v>5</v>
      </c>
      <c r="D2">
        <v>123</v>
      </c>
      <c r="E2">
        <v>43525</v>
      </c>
      <c r="F2" t="s">
        <v>6</v>
      </c>
      <c r="G2" t="s">
        <v>7</v>
      </c>
      <c r="H2" s="9">
        <v>50000</v>
      </c>
      <c r="I2">
        <v>3530</v>
      </c>
      <c r="J2" s="6"/>
      <c r="K2" s="5" t="str">
        <f>IF(fContabilidade[[#This Row],[P. Unitário]]&gt;2,"Verificar","")</f>
        <v/>
      </c>
      <c r="L2" s="5"/>
      <c r="M2" s="2">
        <v>1</v>
      </c>
      <c r="N2" s="8"/>
      <c r="P2" s="2" t="s">
        <v>18</v>
      </c>
      <c r="Q2" s="8"/>
      <c r="S2" s="2" t="s">
        <v>6</v>
      </c>
      <c r="T2" s="6"/>
      <c r="V2" s="2">
        <v>456</v>
      </c>
      <c r="W2" s="2"/>
      <c r="X2" s="2" t="s">
        <v>5</v>
      </c>
      <c r="Y2" s="6"/>
    </row>
    <row r="3" spans="1:25" x14ac:dyDescent="0.25">
      <c r="A3">
        <v>327</v>
      </c>
      <c r="C3" t="s">
        <v>8</v>
      </c>
      <c r="D3">
        <v>123</v>
      </c>
      <c r="E3">
        <v>43497</v>
      </c>
      <c r="F3" t="s">
        <v>9</v>
      </c>
      <c r="G3" t="s">
        <v>10</v>
      </c>
      <c r="H3" s="9">
        <v>1151</v>
      </c>
      <c r="I3">
        <v>2422</v>
      </c>
      <c r="J3" s="6"/>
      <c r="K3" s="5" t="str">
        <f>IF(fContabilidade[[#This Row],[P. Unitário]]&gt;2,"Verificar","")</f>
        <v/>
      </c>
      <c r="L3" s="5"/>
      <c r="M3" s="2">
        <v>2</v>
      </c>
      <c r="N3" s="8"/>
      <c r="P3" s="2" t="s">
        <v>19</v>
      </c>
      <c r="Q3" s="8"/>
      <c r="S3" s="2" t="s">
        <v>9</v>
      </c>
      <c r="T3" s="6"/>
      <c r="V3" s="2">
        <v>327</v>
      </c>
      <c r="W3" s="2"/>
      <c r="X3" s="2" t="s">
        <v>8</v>
      </c>
      <c r="Y3" s="6"/>
    </row>
    <row r="4" spans="1:25" x14ac:dyDescent="0.25">
      <c r="A4">
        <v>20</v>
      </c>
      <c r="C4" t="s">
        <v>11</v>
      </c>
      <c r="D4">
        <v>2606</v>
      </c>
      <c r="E4">
        <v>43466</v>
      </c>
      <c r="F4" t="s">
        <v>12</v>
      </c>
      <c r="G4" t="s">
        <v>13</v>
      </c>
      <c r="H4" s="10">
        <v>37200</v>
      </c>
      <c r="I4">
        <v>4513</v>
      </c>
      <c r="J4" s="5"/>
      <c r="K4" s="5" t="str">
        <f>IF(fContabilidade[[#This Row],[P. Unitário]]&gt;2,"Verificar","")</f>
        <v/>
      </c>
      <c r="L4" s="5"/>
      <c r="M4" s="2">
        <v>3</v>
      </c>
      <c r="N4" s="8"/>
      <c r="P4" s="2" t="s">
        <v>20</v>
      </c>
      <c r="Q4" s="8"/>
      <c r="S4" s="2" t="s">
        <v>12</v>
      </c>
      <c r="T4" s="6"/>
      <c r="V4" s="2">
        <v>20</v>
      </c>
      <c r="W4" s="2"/>
      <c r="X4" s="2" t="s">
        <v>11</v>
      </c>
      <c r="Y4" s="6"/>
    </row>
    <row r="5" spans="1:25" x14ac:dyDescent="0.25">
      <c r="A5">
        <v>327</v>
      </c>
      <c r="C5" t="s">
        <v>11</v>
      </c>
      <c r="D5">
        <v>1387</v>
      </c>
      <c r="E5">
        <v>43525</v>
      </c>
      <c r="F5" t="s">
        <v>12</v>
      </c>
      <c r="G5" t="s">
        <v>14</v>
      </c>
      <c r="H5" s="10">
        <v>4735</v>
      </c>
      <c r="I5">
        <v>3048</v>
      </c>
      <c r="J5" s="5"/>
      <c r="K5" s="5" t="str">
        <f>IF(fContabilidade[[#This Row],[P. Unitário]]&gt;2,"Verificar","")</f>
        <v/>
      </c>
      <c r="L5" s="5"/>
      <c r="M5" s="5"/>
      <c r="N5" s="5"/>
      <c r="S5" s="2" t="s">
        <v>16</v>
      </c>
      <c r="T5" s="6"/>
      <c r="V5" s="2">
        <v>327</v>
      </c>
      <c r="W5" s="2"/>
      <c r="X5" s="2" t="s">
        <v>11</v>
      </c>
      <c r="Y5" s="6"/>
    </row>
    <row r="6" spans="1:25" x14ac:dyDescent="0.25">
      <c r="A6">
        <v>327</v>
      </c>
      <c r="C6" t="s">
        <v>8</v>
      </c>
      <c r="D6">
        <v>3481</v>
      </c>
      <c r="E6">
        <v>43556</v>
      </c>
      <c r="F6" t="s">
        <v>6</v>
      </c>
      <c r="G6" t="s">
        <v>7</v>
      </c>
      <c r="H6" s="10">
        <v>1190</v>
      </c>
      <c r="I6">
        <v>3689</v>
      </c>
      <c r="J6" s="5"/>
      <c r="K6" s="5" t="str">
        <f>IF(fContabilidade[[#This Row],[P. Unitário]]&gt;2,"Verificar","")</f>
        <v/>
      </c>
      <c r="L6" s="5"/>
      <c r="M6" s="5"/>
      <c r="N6" s="5"/>
      <c r="S6" s="2" t="s">
        <v>17</v>
      </c>
      <c r="T6" s="6"/>
      <c r="V6" s="2">
        <v>456</v>
      </c>
      <c r="W6" s="2"/>
      <c r="X6" s="2" t="s">
        <v>15</v>
      </c>
      <c r="Y6" s="6"/>
    </row>
    <row r="7" spans="1:25" x14ac:dyDescent="0.25">
      <c r="A7">
        <v>456</v>
      </c>
      <c r="C7" t="s">
        <v>5</v>
      </c>
      <c r="D7">
        <v>4877</v>
      </c>
      <c r="E7">
        <v>43525</v>
      </c>
      <c r="F7" t="s">
        <v>9</v>
      </c>
      <c r="G7" t="s">
        <v>10</v>
      </c>
      <c r="H7" s="10">
        <v>4556</v>
      </c>
      <c r="I7">
        <v>3555</v>
      </c>
      <c r="J7" s="5"/>
      <c r="K7" s="5" t="str">
        <f>IF(fContabilidade[[#This Row],[P. Unitário]]&gt;2,"Verificar","")</f>
        <v/>
      </c>
      <c r="L7" s="5"/>
      <c r="M7" s="5"/>
      <c r="N7" s="5"/>
      <c r="V7" s="2">
        <v>456</v>
      </c>
      <c r="W7" s="2"/>
      <c r="X7" s="2" t="s">
        <v>8</v>
      </c>
      <c r="Y7" s="6"/>
    </row>
    <row r="8" spans="1:25" x14ac:dyDescent="0.25">
      <c r="A8">
        <v>456</v>
      </c>
      <c r="C8" t="s">
        <v>8</v>
      </c>
      <c r="D8">
        <v>1402</v>
      </c>
      <c r="E8">
        <v>43556</v>
      </c>
      <c r="F8" t="s">
        <v>9</v>
      </c>
      <c r="G8" t="s">
        <v>13</v>
      </c>
      <c r="H8" s="10">
        <v>1900</v>
      </c>
      <c r="I8">
        <v>3311</v>
      </c>
      <c r="J8" s="5"/>
      <c r="K8" s="5" t="str">
        <f>IF(fContabilidade[[#This Row],[P. Unitário]]&gt;2,"Verificar","")</f>
        <v/>
      </c>
      <c r="L8" s="5"/>
      <c r="M8" s="5"/>
      <c r="N8" s="5"/>
      <c r="V8" s="2">
        <v>20</v>
      </c>
      <c r="W8" s="2"/>
      <c r="X8" s="2" t="s">
        <v>8</v>
      </c>
      <c r="Y8" s="6"/>
    </row>
    <row r="9" spans="1:25" x14ac:dyDescent="0.25">
      <c r="A9">
        <v>456</v>
      </c>
      <c r="C9" t="s">
        <v>15</v>
      </c>
      <c r="D9">
        <v>3066</v>
      </c>
      <c r="E9">
        <v>43497</v>
      </c>
      <c r="F9" t="s">
        <v>16</v>
      </c>
      <c r="G9" t="s">
        <v>14</v>
      </c>
      <c r="H9" s="10">
        <v>37500</v>
      </c>
      <c r="I9">
        <v>2992</v>
      </c>
      <c r="J9" s="5"/>
      <c r="K9" s="5" t="str">
        <f>IF(fContabilidade[[#This Row],[P. Unitário]]&gt;2,"Verificar","")</f>
        <v/>
      </c>
      <c r="L9" s="5"/>
      <c r="M9" s="5"/>
      <c r="N9" s="5"/>
      <c r="V9" s="2">
        <v>327</v>
      </c>
      <c r="W9" s="2"/>
      <c r="X9" s="2" t="s">
        <v>15</v>
      </c>
      <c r="Y9" s="6"/>
    </row>
    <row r="10" spans="1:25" x14ac:dyDescent="0.25">
      <c r="A10">
        <v>20</v>
      </c>
      <c r="C10" t="s">
        <v>8</v>
      </c>
      <c r="D10">
        <v>4441</v>
      </c>
      <c r="E10">
        <v>43466</v>
      </c>
      <c r="F10" t="s">
        <v>16</v>
      </c>
      <c r="G10" t="s">
        <v>7</v>
      </c>
      <c r="H10" s="10">
        <v>31320</v>
      </c>
      <c r="I10">
        <v>4760</v>
      </c>
      <c r="J10" s="5"/>
      <c r="K10" s="5" t="str">
        <f>IF(fContabilidade[[#This Row],[P. Unitário]]&gt;2,"Verificar","")</f>
        <v/>
      </c>
      <c r="L10" s="5"/>
      <c r="M10" s="5"/>
      <c r="N10" s="5"/>
      <c r="V10" s="2">
        <v>456</v>
      </c>
      <c r="W10" s="2"/>
      <c r="X10" s="2" t="s">
        <v>11</v>
      </c>
      <c r="Y10" s="6"/>
    </row>
    <row r="11" spans="1:25" x14ac:dyDescent="0.25">
      <c r="A11">
        <v>20</v>
      </c>
      <c r="C11" t="s">
        <v>11</v>
      </c>
      <c r="D11">
        <v>1656</v>
      </c>
      <c r="E11">
        <v>43525</v>
      </c>
      <c r="F11" t="s">
        <v>17</v>
      </c>
      <c r="G11" t="s">
        <v>10</v>
      </c>
      <c r="H11" s="10">
        <v>2521</v>
      </c>
      <c r="I11">
        <v>3535</v>
      </c>
      <c r="J11" s="5"/>
      <c r="K11" s="5" t="str">
        <f>IF(fContabilidade[[#This Row],[P. Unitário]]&gt;2,"Verificar","")</f>
        <v/>
      </c>
      <c r="L11" s="5"/>
      <c r="M11" s="5"/>
      <c r="N11" s="5"/>
      <c r="V11" s="2">
        <v>20</v>
      </c>
      <c r="W11" s="2"/>
      <c r="X11" s="2" t="s">
        <v>15</v>
      </c>
      <c r="Y11" s="6"/>
    </row>
    <row r="12" spans="1:25" x14ac:dyDescent="0.25">
      <c r="A12">
        <v>456</v>
      </c>
      <c r="C12" t="s">
        <v>15</v>
      </c>
      <c r="D12">
        <v>1730</v>
      </c>
      <c r="E12">
        <v>43525</v>
      </c>
      <c r="F12" t="s">
        <v>17</v>
      </c>
      <c r="G12" t="s">
        <v>13</v>
      </c>
      <c r="H12" s="10">
        <v>22780</v>
      </c>
      <c r="I12">
        <v>3446</v>
      </c>
      <c r="J12" s="5"/>
      <c r="K12" s="5" t="str">
        <f>IF(fContabilidade[[#This Row],[P. Unitário]]&gt;2,"Verificar","")</f>
        <v/>
      </c>
      <c r="L12" s="5"/>
      <c r="M12" s="5"/>
      <c r="N12" s="5"/>
    </row>
    <row r="13" spans="1:25" x14ac:dyDescent="0.25">
      <c r="A13">
        <v>456</v>
      </c>
      <c r="C13" t="s">
        <v>15</v>
      </c>
      <c r="D13">
        <v>1544</v>
      </c>
      <c r="E13">
        <v>43497</v>
      </c>
      <c r="F13" t="s">
        <v>6</v>
      </c>
      <c r="G13" t="s">
        <v>14</v>
      </c>
      <c r="H13" s="10">
        <v>4962</v>
      </c>
      <c r="I13">
        <v>3148</v>
      </c>
      <c r="J13" s="5"/>
      <c r="K13" s="5" t="str">
        <f>IF(fContabilidade[[#This Row],[P. Unitário]]&gt;2,"Verificar","")</f>
        <v/>
      </c>
      <c r="L13" s="5"/>
      <c r="M13" s="5"/>
      <c r="N13" s="5"/>
    </row>
    <row r="14" spans="1:25" x14ac:dyDescent="0.25">
      <c r="A14">
        <v>327</v>
      </c>
      <c r="C14" t="s">
        <v>15</v>
      </c>
      <c r="D14">
        <v>4775</v>
      </c>
      <c r="E14">
        <v>43466</v>
      </c>
      <c r="F14" t="s">
        <v>9</v>
      </c>
      <c r="G14" t="s">
        <v>7</v>
      </c>
      <c r="H14" s="10">
        <v>1645</v>
      </c>
      <c r="I14">
        <v>3974</v>
      </c>
      <c r="J14" s="5"/>
      <c r="K14" s="5" t="str">
        <f>IF(fContabilidade[[#This Row],[P. Unitário]]&gt;2,"Verificar","")</f>
        <v/>
      </c>
      <c r="L14" s="5"/>
      <c r="M14" s="5"/>
      <c r="N14" s="5"/>
    </row>
    <row r="15" spans="1:25" x14ac:dyDescent="0.25">
      <c r="A15">
        <v>327</v>
      </c>
      <c r="C15" t="s">
        <v>8</v>
      </c>
      <c r="D15">
        <v>1431</v>
      </c>
      <c r="E15">
        <v>43525</v>
      </c>
      <c r="F15" t="s">
        <v>12</v>
      </c>
      <c r="G15" t="s">
        <v>10</v>
      </c>
      <c r="H15" s="10">
        <v>1320</v>
      </c>
      <c r="I15">
        <v>4764</v>
      </c>
      <c r="J15" s="5"/>
      <c r="K15" s="5" t="str">
        <f>IF(fContabilidade[[#This Row],[P. Unitário]]&gt;2,"Verificar","")</f>
        <v/>
      </c>
      <c r="L15" s="5"/>
      <c r="M15" s="5"/>
      <c r="N15" s="5"/>
    </row>
    <row r="16" spans="1:25" x14ac:dyDescent="0.25">
      <c r="A16">
        <v>20</v>
      </c>
      <c r="C16" t="s">
        <v>11</v>
      </c>
      <c r="D16">
        <v>3035</v>
      </c>
      <c r="E16">
        <v>43556</v>
      </c>
      <c r="F16" t="s">
        <v>6</v>
      </c>
      <c r="G16" t="s">
        <v>13</v>
      </c>
      <c r="H16" s="10">
        <v>2118</v>
      </c>
      <c r="I16">
        <v>4729</v>
      </c>
      <c r="J16" s="5"/>
      <c r="K16" s="5" t="str">
        <f>IF(fContabilidade[[#This Row],[P. Unitário]]&gt;2,"Verificar","")</f>
        <v/>
      </c>
      <c r="L16" s="5"/>
      <c r="M16" s="5"/>
      <c r="N16" s="5"/>
    </row>
    <row r="17" spans="1:14" x14ac:dyDescent="0.25">
      <c r="A17">
        <v>456</v>
      </c>
      <c r="C17" t="s">
        <v>11</v>
      </c>
      <c r="D17">
        <v>4942</v>
      </c>
      <c r="E17">
        <v>43525</v>
      </c>
      <c r="F17" t="s">
        <v>9</v>
      </c>
      <c r="G17" t="s">
        <v>14</v>
      </c>
      <c r="H17" s="10">
        <v>1486</v>
      </c>
      <c r="I17">
        <v>2684</v>
      </c>
      <c r="J17" s="5"/>
      <c r="K17" s="5" t="str">
        <f>IF(fContabilidade[[#This Row],[P. Unitário]]&gt;2,"Verificar","")</f>
        <v/>
      </c>
      <c r="L17" s="5"/>
      <c r="M17" s="5"/>
      <c r="N17" s="5"/>
    </row>
    <row r="18" spans="1:14" x14ac:dyDescent="0.25">
      <c r="A18">
        <v>456</v>
      </c>
      <c r="C18" t="s">
        <v>8</v>
      </c>
      <c r="D18">
        <v>1890</v>
      </c>
      <c r="E18">
        <v>43556</v>
      </c>
      <c r="F18" t="s">
        <v>12</v>
      </c>
      <c r="G18" t="s">
        <v>7</v>
      </c>
      <c r="H18" s="10">
        <v>4358</v>
      </c>
      <c r="I18">
        <v>3360</v>
      </c>
      <c r="J18" s="5"/>
      <c r="K18" s="5" t="str">
        <f>IF(fContabilidade[[#This Row],[P. Unitário]]&gt;2,"Verificar","")</f>
        <v/>
      </c>
      <c r="L18" s="5"/>
      <c r="M18" s="5"/>
      <c r="N18" s="5"/>
    </row>
    <row r="19" spans="1:14" x14ac:dyDescent="0.25">
      <c r="A19">
        <v>456</v>
      </c>
      <c r="C19" t="s">
        <v>15</v>
      </c>
      <c r="D19">
        <v>4795</v>
      </c>
      <c r="E19">
        <v>43497</v>
      </c>
      <c r="F19" t="s">
        <v>12</v>
      </c>
      <c r="G19" t="s">
        <v>10</v>
      </c>
      <c r="H19" s="10">
        <v>3032</v>
      </c>
      <c r="I19">
        <v>2640</v>
      </c>
      <c r="J19" s="5"/>
      <c r="K19" s="5" t="str">
        <f>IF(fContabilidade[[#This Row],[P. Unitário]]&gt;2,"Verificar","")</f>
        <v/>
      </c>
      <c r="L19" s="5"/>
      <c r="M19" s="5"/>
      <c r="N19" s="5"/>
    </row>
    <row r="20" spans="1:14" x14ac:dyDescent="0.25">
      <c r="A20">
        <v>327</v>
      </c>
      <c r="C20" t="s">
        <v>8</v>
      </c>
      <c r="D20">
        <v>4583</v>
      </c>
      <c r="E20">
        <v>43466</v>
      </c>
      <c r="F20" t="s">
        <v>6</v>
      </c>
      <c r="G20" t="s">
        <v>13</v>
      </c>
      <c r="H20" s="10">
        <v>4903</v>
      </c>
      <c r="I20">
        <v>2127</v>
      </c>
      <c r="J20" s="5"/>
      <c r="K20" s="5" t="str">
        <f>IF(fContabilidade[[#This Row],[P. Unitário]]&gt;2,"Verificar","")</f>
        <v/>
      </c>
      <c r="L20" s="5"/>
      <c r="M20" s="5"/>
      <c r="N20" s="5"/>
    </row>
    <row r="21" spans="1:14" x14ac:dyDescent="0.25">
      <c r="A21">
        <v>20</v>
      </c>
      <c r="C21" t="s">
        <v>15</v>
      </c>
      <c r="D21">
        <v>1927</v>
      </c>
      <c r="E21">
        <v>43525</v>
      </c>
      <c r="F21" t="s">
        <v>9</v>
      </c>
      <c r="G21" t="s">
        <v>14</v>
      </c>
      <c r="H21" s="10">
        <v>2253</v>
      </c>
      <c r="I21">
        <v>2786</v>
      </c>
      <c r="J21" s="5"/>
      <c r="K21" s="5" t="str">
        <f>IF(fContabilidade[[#This Row],[P. Unitário]]&gt;2,"Verificar","")</f>
        <v/>
      </c>
      <c r="L21" s="5"/>
      <c r="M21" s="5"/>
      <c r="N21" s="5"/>
    </row>
    <row r="22" spans="1:14" x14ac:dyDescent="0.25">
      <c r="A22">
        <v>20</v>
      </c>
      <c r="C22" t="s">
        <v>8</v>
      </c>
      <c r="D22">
        <v>1097</v>
      </c>
      <c r="E22">
        <v>43525</v>
      </c>
      <c r="F22" t="s">
        <v>9</v>
      </c>
      <c r="G22" t="s">
        <v>7</v>
      </c>
      <c r="H22" s="10">
        <v>21700</v>
      </c>
      <c r="I22">
        <v>4529</v>
      </c>
      <c r="J22" s="5"/>
      <c r="K22" s="5" t="str">
        <f>IF(fContabilidade[[#This Row],[P. Unitário]]&gt;2,"Verificar","")</f>
        <v/>
      </c>
      <c r="L22" s="5"/>
      <c r="M22" s="5"/>
      <c r="N22" s="5"/>
    </row>
    <row r="23" spans="1:14" x14ac:dyDescent="0.25">
      <c r="A23">
        <v>456</v>
      </c>
      <c r="C23" t="s">
        <v>11</v>
      </c>
      <c r="D23">
        <v>4922</v>
      </c>
      <c r="E23">
        <v>43497</v>
      </c>
      <c r="F23" t="s">
        <v>16</v>
      </c>
      <c r="G23" t="s">
        <v>10</v>
      </c>
      <c r="H23" s="10">
        <v>3878</v>
      </c>
      <c r="I23">
        <v>2818</v>
      </c>
      <c r="J23" s="5"/>
      <c r="K23" s="5" t="str">
        <f>IF(fContabilidade[[#This Row],[P. Unitário]]&gt;2,"Verificar","")</f>
        <v/>
      </c>
      <c r="L23" s="5"/>
      <c r="M23" s="5"/>
      <c r="N23" s="5"/>
    </row>
    <row r="24" spans="1:14" x14ac:dyDescent="0.25">
      <c r="A24">
        <v>327</v>
      </c>
      <c r="C24" t="s">
        <v>15</v>
      </c>
      <c r="D24">
        <v>2914</v>
      </c>
      <c r="E24">
        <v>43466</v>
      </c>
      <c r="F24" t="s">
        <v>16</v>
      </c>
      <c r="G24" t="s">
        <v>13</v>
      </c>
      <c r="H24" s="10">
        <v>3262</v>
      </c>
      <c r="I24">
        <v>2572</v>
      </c>
      <c r="J24" s="5"/>
      <c r="K24" s="5" t="str">
        <f>IF(fContabilidade[[#This Row],[P. Unitário]]&gt;2,"Verificar","")</f>
        <v/>
      </c>
      <c r="L24" s="5"/>
      <c r="M24" s="5"/>
      <c r="N24" s="5"/>
    </row>
    <row r="25" spans="1:14" x14ac:dyDescent="0.25">
      <c r="A25">
        <v>20</v>
      </c>
      <c r="C25" t="s">
        <v>15</v>
      </c>
      <c r="D25">
        <v>1175</v>
      </c>
      <c r="E25">
        <v>43525</v>
      </c>
      <c r="F25" t="s">
        <v>17</v>
      </c>
      <c r="G25" t="s">
        <v>14</v>
      </c>
      <c r="H25" s="10">
        <v>3478</v>
      </c>
      <c r="I25">
        <v>2600</v>
      </c>
      <c r="J25" s="5"/>
      <c r="K25" s="5" t="str">
        <f>IF(fContabilidade[[#This Row],[P. Unitário]]&gt;2,"Verificar","")</f>
        <v/>
      </c>
      <c r="L25" s="5"/>
      <c r="M25" s="5"/>
      <c r="N25" s="5"/>
    </row>
    <row r="26" spans="1:14" x14ac:dyDescent="0.25">
      <c r="A26">
        <v>327</v>
      </c>
      <c r="C26" t="s">
        <v>15</v>
      </c>
      <c r="D26">
        <v>4089</v>
      </c>
      <c r="E26">
        <v>43556</v>
      </c>
      <c r="F26" t="s">
        <v>17</v>
      </c>
      <c r="G26" t="s">
        <v>7</v>
      </c>
      <c r="H26" s="10">
        <v>4329</v>
      </c>
      <c r="I26">
        <v>3040</v>
      </c>
      <c r="J26" s="5"/>
      <c r="K26" s="5" t="str">
        <f>IF(fContabilidade[[#This Row],[P. Unitário]]&gt;2,"Verificar","")</f>
        <v/>
      </c>
      <c r="L26" s="5"/>
      <c r="M26" s="5"/>
      <c r="N26" s="5"/>
    </row>
    <row r="27" spans="1:14" x14ac:dyDescent="0.25">
      <c r="A27">
        <v>327</v>
      </c>
      <c r="C27" t="s">
        <v>8</v>
      </c>
      <c r="D27">
        <v>3454</v>
      </c>
      <c r="E27">
        <v>43525</v>
      </c>
      <c r="F27" t="s">
        <v>6</v>
      </c>
      <c r="G27" t="s">
        <v>10</v>
      </c>
      <c r="H27" s="10">
        <v>1521</v>
      </c>
      <c r="I27">
        <v>4135</v>
      </c>
      <c r="J27" s="5"/>
      <c r="K27" s="5" t="str">
        <f>IF(fContabilidade[[#This Row],[P. Unitário]]&gt;2,"Verificar","")</f>
        <v/>
      </c>
      <c r="L27" s="5"/>
      <c r="M27" s="5"/>
      <c r="N27" s="5"/>
    </row>
    <row r="28" spans="1:14" x14ac:dyDescent="0.25">
      <c r="A28">
        <v>456</v>
      </c>
      <c r="C28" t="s">
        <v>11</v>
      </c>
      <c r="D28">
        <v>1314</v>
      </c>
      <c r="E28">
        <v>43556</v>
      </c>
      <c r="F28" t="s">
        <v>9</v>
      </c>
      <c r="G28" t="s">
        <v>13</v>
      </c>
      <c r="H28" s="10">
        <v>4251</v>
      </c>
      <c r="I28">
        <v>2670</v>
      </c>
      <c r="J28" s="5"/>
      <c r="K28" s="5" t="str">
        <f>IF(fContabilidade[[#This Row],[P. Unitário]]&gt;2,"Verificar","")</f>
        <v/>
      </c>
      <c r="L28" s="5"/>
      <c r="M28" s="5"/>
      <c r="N28" s="5"/>
    </row>
    <row r="29" spans="1:14" x14ac:dyDescent="0.25">
      <c r="A29">
        <v>456</v>
      </c>
      <c r="C29" t="s">
        <v>11</v>
      </c>
      <c r="D29">
        <v>4152</v>
      </c>
      <c r="E29">
        <v>43497</v>
      </c>
      <c r="F29" t="s">
        <v>12</v>
      </c>
      <c r="G29" t="s">
        <v>14</v>
      </c>
      <c r="H29" s="10">
        <v>2800</v>
      </c>
      <c r="I29">
        <v>2099</v>
      </c>
      <c r="J29" s="5"/>
      <c r="K29" s="5" t="str">
        <f>IF(fContabilidade[[#This Row],[P. Unitário]]&gt;2,"Verificar","")</f>
        <v/>
      </c>
      <c r="L29" s="5"/>
      <c r="M29" s="5"/>
      <c r="N29" s="5"/>
    </row>
    <row r="30" spans="1:14" x14ac:dyDescent="0.25">
      <c r="A30">
        <v>456</v>
      </c>
      <c r="C30" t="s">
        <v>8</v>
      </c>
      <c r="D30">
        <v>2120</v>
      </c>
      <c r="E30">
        <v>43466</v>
      </c>
      <c r="F30" t="s">
        <v>6</v>
      </c>
      <c r="G30" t="s">
        <v>7</v>
      </c>
      <c r="H30" s="10">
        <v>1841</v>
      </c>
      <c r="I30">
        <v>3114</v>
      </c>
      <c r="J30" s="5"/>
      <c r="K30" s="5" t="str">
        <f>IF(fContabilidade[[#This Row],[P. Unitário]]&gt;2,"Verificar","")</f>
        <v/>
      </c>
      <c r="L30" s="5"/>
      <c r="M30" s="5"/>
      <c r="N30" s="5"/>
    </row>
    <row r="31" spans="1:14" x14ac:dyDescent="0.25">
      <c r="A31">
        <v>20</v>
      </c>
      <c r="C31" t="s">
        <v>15</v>
      </c>
      <c r="D31">
        <v>2414</v>
      </c>
      <c r="E31">
        <v>43525</v>
      </c>
      <c r="F31" t="s">
        <v>9</v>
      </c>
      <c r="G31" t="s">
        <v>10</v>
      </c>
      <c r="H31" s="10">
        <v>3216</v>
      </c>
      <c r="I31">
        <v>4048</v>
      </c>
      <c r="J31" s="5"/>
      <c r="K31" s="5" t="str">
        <f>IF(fContabilidade[[#This Row],[P. Unitário]]&gt;2,"Verificar","")</f>
        <v/>
      </c>
      <c r="L31" s="5"/>
      <c r="M31" s="5"/>
      <c r="N31" s="5"/>
    </row>
    <row r="32" spans="1:14" x14ac:dyDescent="0.25">
      <c r="A32">
        <v>20</v>
      </c>
      <c r="C32" t="s">
        <v>8</v>
      </c>
      <c r="D32">
        <v>2418</v>
      </c>
      <c r="E32">
        <v>43525</v>
      </c>
      <c r="F32" t="s">
        <v>12</v>
      </c>
      <c r="G32" t="s">
        <v>13</v>
      </c>
      <c r="H32" s="10">
        <v>4662</v>
      </c>
      <c r="I32">
        <v>2307</v>
      </c>
      <c r="J32" s="5"/>
      <c r="K32" s="5" t="str">
        <f>IF(fContabilidade[[#This Row],[P. Unitário]]&gt;2,"Verificar","")</f>
        <v/>
      </c>
      <c r="L32" s="5"/>
      <c r="M32" s="5"/>
      <c r="N32" s="5"/>
    </row>
    <row r="33" spans="1:14" x14ac:dyDescent="0.25">
      <c r="A33">
        <v>456</v>
      </c>
      <c r="C33" t="s">
        <v>15</v>
      </c>
      <c r="D33">
        <v>3298</v>
      </c>
      <c r="E33">
        <v>43497</v>
      </c>
      <c r="F33" t="s">
        <v>12</v>
      </c>
      <c r="G33" t="s">
        <v>14</v>
      </c>
      <c r="H33" s="10">
        <v>2002</v>
      </c>
      <c r="I33">
        <v>4913</v>
      </c>
      <c r="J33" s="5"/>
      <c r="K33" s="5" t="str">
        <f>IF(fContabilidade[[#This Row],[P. Unitário]]&gt;2,"Verificar","")</f>
        <v/>
      </c>
      <c r="L33" s="5"/>
      <c r="M33" s="5"/>
      <c r="N33" s="5"/>
    </row>
    <row r="34" spans="1:14" x14ac:dyDescent="0.25">
      <c r="A34">
        <v>456</v>
      </c>
      <c r="C34" t="s">
        <v>8</v>
      </c>
      <c r="D34">
        <v>3282</v>
      </c>
      <c r="E34">
        <v>43466</v>
      </c>
      <c r="F34" t="s">
        <v>6</v>
      </c>
      <c r="G34" t="s">
        <v>7</v>
      </c>
      <c r="H34" s="10">
        <v>1098</v>
      </c>
      <c r="I34">
        <v>2089</v>
      </c>
      <c r="J34" s="5"/>
      <c r="K34" s="5" t="str">
        <f>IF(fContabilidade[[#This Row],[P. Unitário]]&gt;2,"Verificar","")</f>
        <v/>
      </c>
      <c r="L34" s="5"/>
      <c r="M34" s="5"/>
      <c r="N34" s="5"/>
    </row>
    <row r="35" spans="1:14" x14ac:dyDescent="0.25">
      <c r="A35">
        <v>327</v>
      </c>
      <c r="C35" t="s">
        <v>11</v>
      </c>
      <c r="D35">
        <v>3377</v>
      </c>
      <c r="E35">
        <v>43525</v>
      </c>
      <c r="F35" t="s">
        <v>9</v>
      </c>
      <c r="G35" t="s">
        <v>10</v>
      </c>
      <c r="H35" s="10">
        <v>1941</v>
      </c>
      <c r="I35">
        <v>2480</v>
      </c>
      <c r="J35" s="5"/>
      <c r="K35" s="5" t="str">
        <f>IF(fContabilidade[[#This Row],[P. Unitário]]&gt;2,"Verificar","")</f>
        <v/>
      </c>
      <c r="L35" s="5"/>
      <c r="M35" s="5"/>
      <c r="N35" s="5"/>
    </row>
    <row r="36" spans="1:14" x14ac:dyDescent="0.25">
      <c r="A36">
        <v>327</v>
      </c>
      <c r="C36" t="s">
        <v>15</v>
      </c>
      <c r="D36">
        <v>1826</v>
      </c>
      <c r="E36">
        <v>43556</v>
      </c>
      <c r="F36" t="s">
        <v>9</v>
      </c>
      <c r="G36" t="s">
        <v>13</v>
      </c>
      <c r="H36" s="10">
        <v>2497</v>
      </c>
      <c r="I36">
        <v>2651</v>
      </c>
      <c r="J36" s="5"/>
      <c r="K36" s="5" t="str">
        <f>IF(fContabilidade[[#This Row],[P. Unitário]]&gt;2,"Verificar","")</f>
        <v/>
      </c>
      <c r="L36" s="5"/>
      <c r="M36" s="5"/>
      <c r="N36" s="5"/>
    </row>
    <row r="37" spans="1:14" x14ac:dyDescent="0.25">
      <c r="A37">
        <v>20</v>
      </c>
      <c r="C37" t="s">
        <v>15</v>
      </c>
      <c r="D37">
        <v>2982</v>
      </c>
      <c r="E37">
        <v>43525</v>
      </c>
      <c r="F37" t="s">
        <v>16</v>
      </c>
      <c r="G37" t="s">
        <v>14</v>
      </c>
      <c r="H37" s="10">
        <v>1489</v>
      </c>
      <c r="I37">
        <v>2285</v>
      </c>
      <c r="J37" s="5"/>
      <c r="K37" s="5" t="str">
        <f>IF(fContabilidade[[#This Row],[P. Unitário]]&gt;2,"Verificar","")</f>
        <v/>
      </c>
      <c r="L37" s="5"/>
      <c r="M37" s="5"/>
      <c r="N37" s="5"/>
    </row>
    <row r="38" spans="1:14" x14ac:dyDescent="0.25">
      <c r="A38">
        <v>456</v>
      </c>
      <c r="C38" t="s">
        <v>15</v>
      </c>
      <c r="D38">
        <v>3622</v>
      </c>
      <c r="E38">
        <v>43556</v>
      </c>
      <c r="F38" t="s">
        <v>16</v>
      </c>
      <c r="G38" t="s">
        <v>7</v>
      </c>
      <c r="H38" s="10">
        <v>4708</v>
      </c>
      <c r="I38">
        <v>2463</v>
      </c>
      <c r="J38" s="5"/>
      <c r="K38" s="5" t="str">
        <f>IF(fContabilidade[[#This Row],[P. Unitário]]&gt;2,"Verificar","")</f>
        <v/>
      </c>
      <c r="L38" s="5"/>
      <c r="M38" s="5"/>
      <c r="N38" s="5"/>
    </row>
    <row r="39" spans="1:14" x14ac:dyDescent="0.25">
      <c r="A39">
        <v>456</v>
      </c>
      <c r="C39" t="s">
        <v>8</v>
      </c>
      <c r="D39">
        <v>2889</v>
      </c>
      <c r="E39">
        <v>43497</v>
      </c>
      <c r="F39" t="s">
        <v>17</v>
      </c>
      <c r="G39" t="s">
        <v>10</v>
      </c>
      <c r="H39" s="10">
        <v>4926</v>
      </c>
      <c r="I39">
        <v>2107</v>
      </c>
      <c r="J39" s="5"/>
      <c r="K39" s="5" t="str">
        <f>IF(fContabilidade[[#This Row],[P. Unitário]]&gt;2,"Verificar","")</f>
        <v/>
      </c>
      <c r="L39" s="5"/>
      <c r="M39" s="5"/>
      <c r="N39" s="5"/>
    </row>
    <row r="40" spans="1:14" x14ac:dyDescent="0.25">
      <c r="A40">
        <v>456</v>
      </c>
      <c r="C40" t="s">
        <v>11</v>
      </c>
      <c r="D40">
        <v>1690</v>
      </c>
      <c r="E40">
        <v>43466</v>
      </c>
      <c r="F40" t="s">
        <v>17</v>
      </c>
      <c r="G40" t="s">
        <v>13</v>
      </c>
      <c r="H40" s="10">
        <v>2838</v>
      </c>
      <c r="I40">
        <v>2241</v>
      </c>
      <c r="J40" s="5"/>
      <c r="K40" s="5" t="str">
        <f>IF(fContabilidade[[#This Row],[P. Unitário]]&gt;2,"Verificar","")</f>
        <v/>
      </c>
      <c r="L40" s="5"/>
      <c r="M40" s="5"/>
      <c r="N40" s="5"/>
    </row>
    <row r="41" spans="1:14" x14ac:dyDescent="0.25">
      <c r="A41">
        <v>327</v>
      </c>
      <c r="C41" t="s">
        <v>11</v>
      </c>
      <c r="D41">
        <v>3479</v>
      </c>
      <c r="E41">
        <v>43525</v>
      </c>
      <c r="F41" t="s">
        <v>17</v>
      </c>
      <c r="G41" t="s">
        <v>14</v>
      </c>
      <c r="H41" s="10">
        <v>4645</v>
      </c>
      <c r="I41">
        <v>4829</v>
      </c>
      <c r="J41" s="5"/>
      <c r="K41" s="5" t="str">
        <f>IF(fContabilidade[[#This Row],[P. Unitário]]&gt;2,"Verificar","")</f>
        <v/>
      </c>
      <c r="L41" s="5"/>
      <c r="M41" s="5"/>
      <c r="N41" s="5"/>
    </row>
    <row r="42" spans="1:14" x14ac:dyDescent="0.25">
      <c r="A42">
        <v>456</v>
      </c>
      <c r="C42" t="s">
        <v>15</v>
      </c>
      <c r="D42">
        <v>4501</v>
      </c>
      <c r="E42">
        <v>43525</v>
      </c>
      <c r="F42" t="s">
        <v>6</v>
      </c>
      <c r="G42" t="s">
        <v>7</v>
      </c>
      <c r="H42" s="10">
        <v>2150</v>
      </c>
      <c r="I42">
        <v>4676</v>
      </c>
      <c r="J42" s="5"/>
      <c r="K42" s="5" t="str">
        <f>IF(fContabilidade[[#This Row],[P. Unitário]]&gt;2,"Verificar","")</f>
        <v/>
      </c>
      <c r="L42" s="5"/>
      <c r="M42" s="5"/>
      <c r="N42" s="5"/>
    </row>
    <row r="43" spans="1:14" x14ac:dyDescent="0.25">
      <c r="A43">
        <v>327</v>
      </c>
      <c r="C43" t="s">
        <v>8</v>
      </c>
      <c r="D43">
        <v>2455</v>
      </c>
      <c r="E43">
        <v>43497</v>
      </c>
      <c r="F43" t="s">
        <v>9</v>
      </c>
      <c r="G43" t="s">
        <v>10</v>
      </c>
      <c r="H43" s="10">
        <v>1564</v>
      </c>
      <c r="I43">
        <v>2163</v>
      </c>
      <c r="J43" s="5"/>
      <c r="K43" s="5" t="str">
        <f>IF(fContabilidade[[#This Row],[P. Unitário]]&gt;2,"Verificar","")</f>
        <v/>
      </c>
      <c r="L43" s="5"/>
      <c r="M43" s="5"/>
      <c r="N43" s="5"/>
    </row>
    <row r="44" spans="1:14" x14ac:dyDescent="0.25">
      <c r="A44">
        <v>20</v>
      </c>
      <c r="C44" t="s">
        <v>11</v>
      </c>
      <c r="D44">
        <v>2200</v>
      </c>
      <c r="E44">
        <v>43466</v>
      </c>
      <c r="F44" t="s">
        <v>12</v>
      </c>
      <c r="G44" t="s">
        <v>13</v>
      </c>
      <c r="H44" s="10">
        <v>2112</v>
      </c>
      <c r="I44">
        <v>2423</v>
      </c>
      <c r="J44" s="5"/>
      <c r="K44" s="5" t="str">
        <f>IF(fContabilidade[[#This Row],[P. Unitário]]&gt;2,"Verificar","")</f>
        <v/>
      </c>
      <c r="L44" s="5"/>
      <c r="M44" s="5"/>
      <c r="N44" s="5"/>
    </row>
    <row r="45" spans="1:14" x14ac:dyDescent="0.25">
      <c r="A45">
        <v>327</v>
      </c>
      <c r="C45" t="s">
        <v>11</v>
      </c>
      <c r="D45">
        <v>4185</v>
      </c>
      <c r="E45">
        <v>43525</v>
      </c>
      <c r="F45" t="s">
        <v>12</v>
      </c>
      <c r="G45" t="s">
        <v>14</v>
      </c>
      <c r="H45" s="10">
        <v>4079</v>
      </c>
      <c r="I45">
        <v>4856</v>
      </c>
      <c r="J45" s="5"/>
      <c r="K45" s="5" t="str">
        <f>IF(fContabilidade[[#This Row],[P. Unitário]]&gt;2,"Verificar","")</f>
        <v/>
      </c>
      <c r="L45" s="5"/>
      <c r="M45" s="5"/>
      <c r="N45" s="5"/>
    </row>
    <row r="46" spans="1:14" x14ac:dyDescent="0.25">
      <c r="A46">
        <v>327</v>
      </c>
      <c r="C46" t="s">
        <v>8</v>
      </c>
      <c r="D46">
        <v>4129</v>
      </c>
      <c r="E46">
        <v>43556</v>
      </c>
      <c r="F46" t="s">
        <v>6</v>
      </c>
      <c r="G46" t="s">
        <v>7</v>
      </c>
      <c r="H46" s="10">
        <v>3581</v>
      </c>
      <c r="I46">
        <v>2929</v>
      </c>
      <c r="J46" s="5"/>
      <c r="K46" s="5" t="str">
        <f>IF(fContabilidade[[#This Row],[P. Unitário]]&gt;2,"Verificar","")</f>
        <v/>
      </c>
      <c r="L46" s="5"/>
      <c r="M46" s="5"/>
      <c r="N46" s="5"/>
    </row>
    <row r="47" spans="1:14" x14ac:dyDescent="0.25">
      <c r="A47">
        <v>456</v>
      </c>
      <c r="C47" t="s">
        <v>15</v>
      </c>
      <c r="D47">
        <v>1658</v>
      </c>
      <c r="E47">
        <v>43525</v>
      </c>
      <c r="F47" t="s">
        <v>9</v>
      </c>
      <c r="G47" t="s">
        <v>10</v>
      </c>
      <c r="H47" s="10">
        <v>1469</v>
      </c>
      <c r="I47">
        <v>4640</v>
      </c>
      <c r="J47" s="5"/>
      <c r="K47" s="5" t="str">
        <f>IF(fContabilidade[[#This Row],[P. Unitário]]&gt;2,"Verificar","")</f>
        <v/>
      </c>
      <c r="L47" s="5"/>
      <c r="M47" s="5"/>
      <c r="N47" s="5"/>
    </row>
    <row r="48" spans="1:14" x14ac:dyDescent="0.25">
      <c r="A48">
        <v>456</v>
      </c>
      <c r="C48" t="s">
        <v>8</v>
      </c>
      <c r="D48">
        <v>2019</v>
      </c>
      <c r="E48">
        <v>43556</v>
      </c>
      <c r="F48" t="s">
        <v>9</v>
      </c>
      <c r="G48" t="s">
        <v>13</v>
      </c>
      <c r="H48" s="10">
        <v>3867</v>
      </c>
      <c r="I48">
        <v>3679</v>
      </c>
      <c r="J48" s="5"/>
      <c r="K48" s="5" t="str">
        <f>IF(fContabilidade[[#This Row],[P. Unitário]]&gt;2,"Verificar","")</f>
        <v/>
      </c>
      <c r="L48" s="5"/>
      <c r="M48" s="5"/>
      <c r="N48" s="5"/>
    </row>
    <row r="49" spans="1:14" x14ac:dyDescent="0.25">
      <c r="A49">
        <v>456</v>
      </c>
      <c r="C49" t="s">
        <v>15</v>
      </c>
      <c r="D49">
        <v>1182</v>
      </c>
      <c r="E49">
        <v>43497</v>
      </c>
      <c r="F49" t="s">
        <v>16</v>
      </c>
      <c r="G49" t="s">
        <v>14</v>
      </c>
      <c r="H49" s="10">
        <v>4828</v>
      </c>
      <c r="I49">
        <v>2336</v>
      </c>
      <c r="J49" s="5"/>
      <c r="K49" s="5" t="str">
        <f>IF(fContabilidade[[#This Row],[P. Unitário]]&gt;2,"Verificar","")</f>
        <v/>
      </c>
      <c r="L49" s="5"/>
      <c r="M49" s="5"/>
      <c r="N49" s="5"/>
    </row>
    <row r="50" spans="1:14" x14ac:dyDescent="0.25">
      <c r="A50">
        <v>20</v>
      </c>
      <c r="C50" t="s">
        <v>8</v>
      </c>
      <c r="D50">
        <v>3260</v>
      </c>
      <c r="E50">
        <v>43466</v>
      </c>
      <c r="F50" t="s">
        <v>16</v>
      </c>
      <c r="G50" t="s">
        <v>7</v>
      </c>
      <c r="H50" s="10">
        <v>4058</v>
      </c>
      <c r="I50">
        <v>4993</v>
      </c>
      <c r="J50" s="5"/>
      <c r="K50" s="5" t="str">
        <f>IF(fContabilidade[[#This Row],[P. Unitário]]&gt;2,"Verificar","")</f>
        <v/>
      </c>
      <c r="L50" s="5"/>
      <c r="M50" s="5"/>
      <c r="N50" s="5"/>
    </row>
    <row r="51" spans="1:14" x14ac:dyDescent="0.25">
      <c r="A51">
        <v>20</v>
      </c>
      <c r="C51" t="s">
        <v>11</v>
      </c>
      <c r="D51">
        <v>2426</v>
      </c>
      <c r="E51">
        <v>43525</v>
      </c>
      <c r="F51" t="s">
        <v>17</v>
      </c>
      <c r="G51" t="s">
        <v>10</v>
      </c>
      <c r="H51" s="10">
        <v>1502</v>
      </c>
      <c r="I51">
        <v>2259</v>
      </c>
      <c r="J51" s="5"/>
      <c r="K51" s="5" t="str">
        <f>IF(fContabilidade[[#This Row],[P. Unitário]]&gt;2,"Verificar","")</f>
        <v/>
      </c>
      <c r="L51" s="5"/>
      <c r="M51" s="5"/>
      <c r="N51" s="5"/>
    </row>
    <row r="52" spans="1:14" x14ac:dyDescent="0.25">
      <c r="A52">
        <v>456</v>
      </c>
      <c r="C52" t="s">
        <v>15</v>
      </c>
      <c r="D52">
        <v>1404</v>
      </c>
      <c r="E52">
        <v>43525</v>
      </c>
      <c r="F52" t="s">
        <v>17</v>
      </c>
      <c r="G52" t="s">
        <v>13</v>
      </c>
      <c r="H52" s="10">
        <v>2642</v>
      </c>
      <c r="I52">
        <v>2735</v>
      </c>
      <c r="J52" s="5"/>
      <c r="K52" s="5" t="str">
        <f>IF(fContabilidade[[#This Row],[P. Unitário]]&gt;2,"Verificar","")</f>
        <v/>
      </c>
      <c r="L52" s="5"/>
      <c r="M52" s="5"/>
      <c r="N52" s="5"/>
    </row>
    <row r="53" spans="1:14" x14ac:dyDescent="0.25">
      <c r="A53">
        <v>456</v>
      </c>
      <c r="C53" t="s">
        <v>15</v>
      </c>
      <c r="D53">
        <v>3670</v>
      </c>
      <c r="E53">
        <v>43497</v>
      </c>
      <c r="F53" t="s">
        <v>6</v>
      </c>
      <c r="G53" t="s">
        <v>14</v>
      </c>
      <c r="H53" s="10">
        <v>3349</v>
      </c>
      <c r="I53">
        <v>4679</v>
      </c>
      <c r="J53" s="5"/>
      <c r="K53" s="5" t="str">
        <f>IF(fContabilidade[[#This Row],[P. Unitário]]&gt;2,"Verificar","")</f>
        <v/>
      </c>
      <c r="L53" s="5"/>
      <c r="M53" s="5"/>
      <c r="N53" s="5"/>
    </row>
    <row r="54" spans="1:14" x14ac:dyDescent="0.25">
      <c r="A54">
        <v>327</v>
      </c>
      <c r="C54" t="s">
        <v>15</v>
      </c>
      <c r="D54">
        <v>1615</v>
      </c>
      <c r="E54">
        <v>43466</v>
      </c>
      <c r="F54" t="s">
        <v>9</v>
      </c>
      <c r="G54" t="s">
        <v>7</v>
      </c>
      <c r="H54" s="10">
        <v>1615</v>
      </c>
      <c r="I54">
        <v>3993</v>
      </c>
      <c r="J54" s="5"/>
      <c r="K54" s="5" t="str">
        <f>IF(fContabilidade[[#This Row],[P. Unitário]]&gt;2,"Verificar","")</f>
        <v/>
      </c>
      <c r="L54" s="5"/>
      <c r="M54" s="5"/>
      <c r="N54" s="5"/>
    </row>
    <row r="55" spans="1:14" x14ac:dyDescent="0.25">
      <c r="A55">
        <v>327</v>
      </c>
      <c r="C55" t="s">
        <v>8</v>
      </c>
      <c r="D55">
        <v>3130</v>
      </c>
      <c r="E55">
        <v>43525</v>
      </c>
      <c r="F55" t="s">
        <v>12</v>
      </c>
      <c r="G55" t="s">
        <v>10</v>
      </c>
      <c r="H55" s="10">
        <v>2345</v>
      </c>
      <c r="I55">
        <v>3697</v>
      </c>
      <c r="J55" s="5"/>
      <c r="K55" s="5" t="str">
        <f>IF(fContabilidade[[#This Row],[P. Unitário]]&gt;2,"Verificar","")</f>
        <v/>
      </c>
      <c r="L55" s="5"/>
      <c r="M55" s="5"/>
      <c r="N55" s="5"/>
    </row>
    <row r="56" spans="1:14" x14ac:dyDescent="0.25">
      <c r="A56">
        <v>20</v>
      </c>
      <c r="C56" t="s">
        <v>11</v>
      </c>
      <c r="D56">
        <v>1233</v>
      </c>
      <c r="E56">
        <v>43556</v>
      </c>
      <c r="F56" t="s">
        <v>6</v>
      </c>
      <c r="G56" t="s">
        <v>13</v>
      </c>
      <c r="H56" s="10">
        <v>1717</v>
      </c>
      <c r="I56">
        <v>4957</v>
      </c>
      <c r="J56" s="5"/>
      <c r="K56" s="5" t="str">
        <f>IF(fContabilidade[[#This Row],[P. Unitário]]&gt;2,"Verificar","")</f>
        <v/>
      </c>
      <c r="L56" s="5"/>
      <c r="M56" s="5"/>
      <c r="N56" s="5"/>
    </row>
    <row r="57" spans="1:14" x14ac:dyDescent="0.25">
      <c r="A57">
        <v>456</v>
      </c>
      <c r="C57" t="s">
        <v>11</v>
      </c>
      <c r="D57">
        <v>2356</v>
      </c>
      <c r="E57">
        <v>43525</v>
      </c>
      <c r="F57" t="s">
        <v>9</v>
      </c>
      <c r="G57" t="s">
        <v>14</v>
      </c>
      <c r="H57" s="10">
        <v>4177</v>
      </c>
      <c r="I57">
        <v>3434</v>
      </c>
      <c r="J57" s="5"/>
      <c r="K57" s="5" t="str">
        <f>IF(fContabilidade[[#This Row],[P. Unitário]]&gt;2,"Verificar","")</f>
        <v/>
      </c>
      <c r="L57" s="5"/>
      <c r="M57" s="5"/>
      <c r="N57" s="5"/>
    </row>
    <row r="58" spans="1:14" x14ac:dyDescent="0.25">
      <c r="A58">
        <v>456</v>
      </c>
      <c r="C58" t="s">
        <v>8</v>
      </c>
      <c r="D58">
        <v>4426</v>
      </c>
      <c r="E58">
        <v>43556</v>
      </c>
      <c r="F58" t="s">
        <v>12</v>
      </c>
      <c r="G58" t="s">
        <v>7</v>
      </c>
      <c r="H58" s="10">
        <v>3997</v>
      </c>
      <c r="I58">
        <v>4375</v>
      </c>
      <c r="J58" s="5"/>
      <c r="K58" s="5" t="str">
        <f>IF(fContabilidade[[#This Row],[P. Unitário]]&gt;2,"Verificar","")</f>
        <v/>
      </c>
      <c r="L58" s="5"/>
      <c r="M58" s="5"/>
      <c r="N58" s="5"/>
    </row>
    <row r="59" spans="1:14" x14ac:dyDescent="0.25">
      <c r="A59">
        <v>456</v>
      </c>
      <c r="C59" t="s">
        <v>15</v>
      </c>
      <c r="D59">
        <v>1398</v>
      </c>
      <c r="E59">
        <v>43497</v>
      </c>
      <c r="F59" t="s">
        <v>12</v>
      </c>
      <c r="G59" t="s">
        <v>10</v>
      </c>
      <c r="H59" s="10">
        <v>3999</v>
      </c>
      <c r="I59">
        <v>4999</v>
      </c>
      <c r="J59" s="5"/>
      <c r="K59" s="5" t="str">
        <f>IF(fContabilidade[[#This Row],[P. Unitário]]&gt;2,"Verificar","")</f>
        <v/>
      </c>
      <c r="L59" s="5"/>
      <c r="M59" s="5"/>
      <c r="N59" s="5"/>
    </row>
    <row r="60" spans="1:14" x14ac:dyDescent="0.25">
      <c r="A60">
        <v>327</v>
      </c>
      <c r="C60" t="s">
        <v>8</v>
      </c>
      <c r="D60">
        <v>1682</v>
      </c>
      <c r="E60">
        <v>43466</v>
      </c>
      <c r="F60" t="s">
        <v>6</v>
      </c>
      <c r="G60" t="s">
        <v>13</v>
      </c>
      <c r="H60" s="10">
        <v>3166</v>
      </c>
      <c r="I60">
        <v>4074</v>
      </c>
      <c r="J60" s="5"/>
      <c r="K60" s="5" t="str">
        <f>IF(fContabilidade[[#This Row],[P. Unitário]]&gt;2,"Verificar","")</f>
        <v/>
      </c>
      <c r="L60" s="5"/>
      <c r="M60" s="5"/>
      <c r="N60" s="5"/>
    </row>
    <row r="61" spans="1:14" x14ac:dyDescent="0.25">
      <c r="A61">
        <v>20</v>
      </c>
      <c r="C61" t="s">
        <v>15</v>
      </c>
      <c r="D61">
        <v>3782</v>
      </c>
      <c r="E61">
        <v>43525</v>
      </c>
      <c r="F61" t="s">
        <v>9</v>
      </c>
      <c r="G61" t="s">
        <v>14</v>
      </c>
      <c r="H61" s="10">
        <v>2105</v>
      </c>
      <c r="I61">
        <v>4548</v>
      </c>
      <c r="J61" s="5"/>
      <c r="K61" s="5" t="str">
        <f>IF(fContabilidade[[#This Row],[P. Unitário]]&gt;2,"Verificar","")</f>
        <v/>
      </c>
      <c r="L61" s="5"/>
      <c r="M61" s="5"/>
      <c r="N61" s="5"/>
    </row>
    <row r="62" spans="1:14" x14ac:dyDescent="0.25">
      <c r="A62">
        <v>20</v>
      </c>
      <c r="C62" t="s">
        <v>8</v>
      </c>
      <c r="D62">
        <v>1805</v>
      </c>
      <c r="E62">
        <v>43525</v>
      </c>
      <c r="F62" t="s">
        <v>9</v>
      </c>
      <c r="G62" t="s">
        <v>7</v>
      </c>
      <c r="H62" s="10">
        <v>1996</v>
      </c>
      <c r="I62">
        <v>2648</v>
      </c>
      <c r="J62" s="5"/>
      <c r="K62" s="5" t="str">
        <f>IF(fContabilidade[[#This Row],[P. Unitário]]&gt;2,"Verificar","")</f>
        <v/>
      </c>
      <c r="L62" s="5"/>
      <c r="M62" s="5"/>
      <c r="N62" s="5"/>
    </row>
    <row r="63" spans="1:14" x14ac:dyDescent="0.25">
      <c r="A63">
        <v>456</v>
      </c>
      <c r="C63" t="s">
        <v>11</v>
      </c>
      <c r="D63">
        <v>3471</v>
      </c>
      <c r="E63">
        <v>43497</v>
      </c>
      <c r="F63" t="s">
        <v>16</v>
      </c>
      <c r="G63" t="s">
        <v>10</v>
      </c>
      <c r="H63" s="10">
        <v>1995</v>
      </c>
      <c r="I63">
        <v>2908</v>
      </c>
      <c r="J63" s="5"/>
      <c r="K63" s="5" t="str">
        <f>IF(fContabilidade[[#This Row],[P. Unitário]]&gt;2,"Verificar","")</f>
        <v/>
      </c>
      <c r="L63" s="5"/>
      <c r="M63" s="5"/>
      <c r="N63" s="5"/>
    </row>
    <row r="64" spans="1:14" x14ac:dyDescent="0.25">
      <c r="A64">
        <v>327</v>
      </c>
      <c r="C64" t="s">
        <v>15</v>
      </c>
      <c r="D64">
        <v>4413</v>
      </c>
      <c r="E64">
        <v>43466</v>
      </c>
      <c r="F64" t="s">
        <v>16</v>
      </c>
      <c r="G64" t="s">
        <v>13</v>
      </c>
      <c r="H64" s="10">
        <v>3899</v>
      </c>
      <c r="I64">
        <v>3436</v>
      </c>
      <c r="J64" s="5"/>
      <c r="K64" s="5" t="str">
        <f>IF(fContabilidade[[#This Row],[P. Unitário]]&gt;2,"Verificar","")</f>
        <v/>
      </c>
      <c r="L64" s="5"/>
      <c r="M64" s="5"/>
      <c r="N64" s="5"/>
    </row>
    <row r="65" spans="1:14" x14ac:dyDescent="0.25">
      <c r="A65">
        <v>20</v>
      </c>
      <c r="C65" t="s">
        <v>15</v>
      </c>
      <c r="D65">
        <v>4776</v>
      </c>
      <c r="E65">
        <v>43525</v>
      </c>
      <c r="F65" t="s">
        <v>17</v>
      </c>
      <c r="G65" t="s">
        <v>14</v>
      </c>
      <c r="H65" s="10">
        <v>4519</v>
      </c>
      <c r="I65">
        <v>2191</v>
      </c>
      <c r="J65" s="5"/>
      <c r="K65" s="5" t="str">
        <f>IF(fContabilidade[[#This Row],[P. Unitário]]&gt;2,"Verificar","")</f>
        <v/>
      </c>
      <c r="L65" s="5"/>
      <c r="M65" s="5"/>
      <c r="N65" s="5"/>
    </row>
    <row r="66" spans="1:14" x14ac:dyDescent="0.25">
      <c r="A66">
        <v>327</v>
      </c>
      <c r="C66" t="s">
        <v>15</v>
      </c>
      <c r="D66">
        <v>3667</v>
      </c>
      <c r="E66">
        <v>43556</v>
      </c>
      <c r="F66" t="s">
        <v>17</v>
      </c>
      <c r="G66" t="s">
        <v>7</v>
      </c>
      <c r="H66" s="10">
        <v>1558</v>
      </c>
      <c r="I66">
        <v>4372</v>
      </c>
      <c r="J66" s="5"/>
      <c r="K66" s="5" t="str">
        <f>IF(fContabilidade[[#This Row],[P. Unitário]]&gt;2,"Verificar","")</f>
        <v/>
      </c>
      <c r="L66" s="5"/>
      <c r="M66" s="5"/>
      <c r="N66" s="5"/>
    </row>
    <row r="67" spans="1:14" x14ac:dyDescent="0.25">
      <c r="A67">
        <v>327</v>
      </c>
      <c r="C67" t="s">
        <v>8</v>
      </c>
      <c r="D67">
        <v>1023</v>
      </c>
      <c r="E67">
        <v>43525</v>
      </c>
      <c r="F67" t="s">
        <v>6</v>
      </c>
      <c r="G67" t="s">
        <v>10</v>
      </c>
      <c r="H67" s="10">
        <v>4886</v>
      </c>
      <c r="I67">
        <v>2310</v>
      </c>
      <c r="J67" s="5"/>
      <c r="K67" s="5" t="str">
        <f>IF(fContabilidade[[#This Row],[P. Unitário]]&gt;2,"Verificar","")</f>
        <v/>
      </c>
      <c r="L67" s="5"/>
      <c r="M67" s="5"/>
      <c r="N67" s="5"/>
    </row>
    <row r="68" spans="1:14" x14ac:dyDescent="0.25">
      <c r="A68">
        <v>456</v>
      </c>
      <c r="C68" t="s">
        <v>11</v>
      </c>
      <c r="D68">
        <v>1604</v>
      </c>
      <c r="E68">
        <v>43556</v>
      </c>
      <c r="F68" t="s">
        <v>9</v>
      </c>
      <c r="G68" t="s">
        <v>13</v>
      </c>
      <c r="H68" s="10">
        <v>3476</v>
      </c>
      <c r="I68">
        <v>2919</v>
      </c>
      <c r="J68" s="5"/>
      <c r="K68" s="5" t="str">
        <f>IF(fContabilidade[[#This Row],[P. Unitário]]&gt;2,"Verificar","")</f>
        <v/>
      </c>
      <c r="L68" s="5"/>
      <c r="M68" s="5"/>
      <c r="N68" s="5"/>
    </row>
    <row r="69" spans="1:14" x14ac:dyDescent="0.25">
      <c r="A69">
        <v>456</v>
      </c>
      <c r="C69" t="s">
        <v>11</v>
      </c>
      <c r="D69">
        <v>1477</v>
      </c>
      <c r="E69">
        <v>43497</v>
      </c>
      <c r="F69" t="s">
        <v>12</v>
      </c>
      <c r="G69" t="s">
        <v>14</v>
      </c>
      <c r="H69" s="10">
        <v>4913</v>
      </c>
      <c r="I69">
        <v>4177</v>
      </c>
      <c r="J69" s="5"/>
      <c r="K69" s="5" t="str">
        <f>IF(fContabilidade[[#This Row],[P. Unitário]]&gt;2,"Verificar","")</f>
        <v/>
      </c>
      <c r="L69" s="5"/>
      <c r="M69" s="5"/>
      <c r="N69" s="5"/>
    </row>
    <row r="70" spans="1:14" x14ac:dyDescent="0.25">
      <c r="A70">
        <v>456</v>
      </c>
      <c r="C70" t="s">
        <v>8</v>
      </c>
      <c r="D70">
        <v>4287</v>
      </c>
      <c r="E70">
        <v>43466</v>
      </c>
      <c r="F70" t="s">
        <v>6</v>
      </c>
      <c r="G70" t="s">
        <v>7</v>
      </c>
      <c r="H70" s="10">
        <v>4054</v>
      </c>
      <c r="I70">
        <v>4963</v>
      </c>
      <c r="J70" s="5"/>
      <c r="K70" s="5" t="str">
        <f>IF(fContabilidade[[#This Row],[P. Unitário]]&gt;2,"Verificar","")</f>
        <v/>
      </c>
      <c r="L70" s="5"/>
      <c r="M70" s="5"/>
      <c r="N70" s="5"/>
    </row>
    <row r="71" spans="1:14" x14ac:dyDescent="0.25">
      <c r="A71">
        <v>20</v>
      </c>
      <c r="C71" t="s">
        <v>15</v>
      </c>
      <c r="D71">
        <v>3728</v>
      </c>
      <c r="E71">
        <v>43525</v>
      </c>
      <c r="F71" t="s">
        <v>9</v>
      </c>
      <c r="G71" t="s">
        <v>10</v>
      </c>
      <c r="H71" s="10">
        <v>1282</v>
      </c>
      <c r="I71">
        <v>2734</v>
      </c>
      <c r="J71" s="5"/>
      <c r="K71" s="5" t="str">
        <f>IF(fContabilidade[[#This Row],[P. Unitário]]&gt;2,"Verificar","")</f>
        <v/>
      </c>
      <c r="L71" s="5"/>
      <c r="M71" s="5"/>
      <c r="N71" s="5"/>
    </row>
    <row r="72" spans="1:14" x14ac:dyDescent="0.25">
      <c r="A72">
        <v>20</v>
      </c>
      <c r="C72" t="s">
        <v>8</v>
      </c>
      <c r="D72">
        <v>2132</v>
      </c>
      <c r="E72">
        <v>43525</v>
      </c>
      <c r="F72" t="s">
        <v>12</v>
      </c>
      <c r="G72" t="s">
        <v>13</v>
      </c>
      <c r="H72" s="10">
        <v>3185</v>
      </c>
      <c r="I72">
        <v>4743</v>
      </c>
      <c r="J72" s="5"/>
      <c r="K72" s="5" t="str">
        <f>IF(fContabilidade[[#This Row],[P. Unitário]]&gt;2,"Verificar","")</f>
        <v/>
      </c>
      <c r="L72" s="5"/>
      <c r="M72" s="5"/>
      <c r="N72" s="5"/>
    </row>
    <row r="73" spans="1:14" x14ac:dyDescent="0.25">
      <c r="A73">
        <v>456</v>
      </c>
      <c r="C73" t="s">
        <v>15</v>
      </c>
      <c r="D73">
        <v>1805</v>
      </c>
      <c r="E73">
        <v>43497</v>
      </c>
      <c r="F73" t="s">
        <v>12</v>
      </c>
      <c r="G73" t="s">
        <v>14</v>
      </c>
      <c r="H73" s="10">
        <v>3200</v>
      </c>
      <c r="I73">
        <v>3275</v>
      </c>
      <c r="J73" s="5"/>
      <c r="K73" s="5" t="str">
        <f>IF(fContabilidade[[#This Row],[P. Unitário]]&gt;2,"Verificar","")</f>
        <v/>
      </c>
      <c r="L73" s="5"/>
      <c r="M73" s="5"/>
      <c r="N73" s="5"/>
    </row>
    <row r="74" spans="1:14" x14ac:dyDescent="0.25">
      <c r="A74">
        <v>456</v>
      </c>
      <c r="C74" t="s">
        <v>8</v>
      </c>
      <c r="D74">
        <v>1462</v>
      </c>
      <c r="E74">
        <v>43466</v>
      </c>
      <c r="F74" t="s">
        <v>6</v>
      </c>
      <c r="G74" t="s">
        <v>7</v>
      </c>
      <c r="H74" s="10">
        <v>1240</v>
      </c>
      <c r="I74">
        <v>4787</v>
      </c>
      <c r="J74" s="5"/>
      <c r="K74" s="5" t="str">
        <f>IF(fContabilidade[[#This Row],[P. Unitário]]&gt;2,"Verificar","")</f>
        <v/>
      </c>
      <c r="L74" s="5"/>
      <c r="M74" s="5"/>
      <c r="N74" s="5"/>
    </row>
    <row r="75" spans="1:14" x14ac:dyDescent="0.25">
      <c r="A75">
        <v>327</v>
      </c>
      <c r="C75" t="s">
        <v>11</v>
      </c>
      <c r="D75">
        <v>2045</v>
      </c>
      <c r="E75">
        <v>43525</v>
      </c>
      <c r="F75" t="s">
        <v>9</v>
      </c>
      <c r="G75" t="s">
        <v>10</v>
      </c>
      <c r="H75" s="10">
        <v>4894</v>
      </c>
      <c r="I75">
        <v>2938</v>
      </c>
      <c r="J75" s="5"/>
      <c r="K75" s="5" t="str">
        <f>IF(fContabilidade[[#This Row],[P. Unitário]]&gt;2,"Verificar","")</f>
        <v/>
      </c>
      <c r="L75" s="5"/>
      <c r="M75" s="5"/>
      <c r="N75" s="5"/>
    </row>
    <row r="76" spans="1:14" x14ac:dyDescent="0.25">
      <c r="A76">
        <v>327</v>
      </c>
      <c r="C76" t="s">
        <v>15</v>
      </c>
      <c r="D76">
        <v>4023</v>
      </c>
      <c r="E76">
        <v>43556</v>
      </c>
      <c r="F76" t="s">
        <v>9</v>
      </c>
      <c r="G76" t="s">
        <v>13</v>
      </c>
      <c r="H76" s="10">
        <v>3614</v>
      </c>
      <c r="I76">
        <v>2630</v>
      </c>
      <c r="J76" s="5"/>
      <c r="K76" s="5" t="str">
        <f>IF(fContabilidade[[#This Row],[P. Unitário]]&gt;2,"Verificar","")</f>
        <v/>
      </c>
      <c r="L76" s="5"/>
      <c r="M76" s="5"/>
      <c r="N76" s="5"/>
    </row>
    <row r="77" spans="1:14" x14ac:dyDescent="0.25">
      <c r="A77">
        <v>20</v>
      </c>
      <c r="C77" t="s">
        <v>15</v>
      </c>
      <c r="D77">
        <v>4299</v>
      </c>
      <c r="E77">
        <v>43525</v>
      </c>
      <c r="F77" t="s">
        <v>16</v>
      </c>
      <c r="G77" t="s">
        <v>14</v>
      </c>
      <c r="H77" s="10">
        <v>4776</v>
      </c>
      <c r="I77">
        <v>3437</v>
      </c>
      <c r="J77" s="5"/>
      <c r="K77" s="5" t="str">
        <f>IF(fContabilidade[[#This Row],[P. Unitário]]&gt;2,"Verificar","")</f>
        <v/>
      </c>
      <c r="L77" s="5"/>
      <c r="M77" s="5"/>
      <c r="N77" s="5"/>
    </row>
    <row r="78" spans="1:14" x14ac:dyDescent="0.25">
      <c r="A78">
        <v>456</v>
      </c>
      <c r="C78" t="s">
        <v>15</v>
      </c>
      <c r="D78">
        <v>3927</v>
      </c>
      <c r="E78">
        <v>43556</v>
      </c>
      <c r="F78" t="s">
        <v>16</v>
      </c>
      <c r="G78" t="s">
        <v>7</v>
      </c>
      <c r="H78" s="10">
        <v>3470</v>
      </c>
      <c r="I78">
        <v>2644</v>
      </c>
      <c r="J78" s="5"/>
      <c r="K78" s="5" t="str">
        <f>IF(fContabilidade[[#This Row],[P. Unitário]]&gt;2,"Verificar","")</f>
        <v/>
      </c>
      <c r="L78" s="5"/>
      <c r="M78" s="5"/>
      <c r="N78" s="5"/>
    </row>
    <row r="79" spans="1:14" x14ac:dyDescent="0.25">
      <c r="A79">
        <v>456</v>
      </c>
      <c r="C79" t="s">
        <v>8</v>
      </c>
      <c r="D79">
        <v>3147</v>
      </c>
      <c r="E79">
        <v>43497</v>
      </c>
      <c r="F79" t="s">
        <v>17</v>
      </c>
      <c r="G79" t="s">
        <v>10</v>
      </c>
      <c r="H79" s="10">
        <v>2821</v>
      </c>
      <c r="I79">
        <v>4255</v>
      </c>
      <c r="J79" s="5"/>
      <c r="K79" s="5" t="str">
        <f>IF(fContabilidade[[#This Row],[P. Unitário]]&gt;2,"Verificar","")</f>
        <v/>
      </c>
      <c r="L79" s="5"/>
      <c r="M79" s="5"/>
      <c r="N79" s="5"/>
    </row>
    <row r="80" spans="1:14" x14ac:dyDescent="0.25">
      <c r="A80">
        <v>456</v>
      </c>
      <c r="C80" t="s">
        <v>11</v>
      </c>
      <c r="D80">
        <v>1535</v>
      </c>
      <c r="E80">
        <v>43466</v>
      </c>
      <c r="F80" t="s">
        <v>17</v>
      </c>
      <c r="G80" t="s">
        <v>13</v>
      </c>
      <c r="H80" s="10">
        <v>3263</v>
      </c>
      <c r="I80">
        <v>4347</v>
      </c>
      <c r="J80" s="5"/>
      <c r="K80" s="5" t="str">
        <f>IF(fContabilidade[[#This Row],[P. Unitário]]&gt;2,"Verificar","")</f>
        <v/>
      </c>
      <c r="L80" s="5"/>
      <c r="M80" s="5"/>
      <c r="N80" s="5"/>
    </row>
    <row r="81" spans="1:14" x14ac:dyDescent="0.25">
      <c r="A81">
        <v>327</v>
      </c>
      <c r="C81" t="s">
        <v>11</v>
      </c>
      <c r="D81">
        <v>2401</v>
      </c>
      <c r="E81">
        <v>43525</v>
      </c>
      <c r="F81" t="s">
        <v>17</v>
      </c>
      <c r="G81" t="s">
        <v>14</v>
      </c>
      <c r="H81" s="10">
        <v>1826</v>
      </c>
      <c r="I81">
        <v>4073</v>
      </c>
      <c r="J81" s="5"/>
      <c r="K81" s="5" t="str">
        <f>IF(fContabilidade[[#This Row],[P. Unitário]]&gt;2,"Verificar","")</f>
        <v/>
      </c>
      <c r="L81" s="5"/>
      <c r="M81" s="5"/>
      <c r="N81" s="5"/>
    </row>
    <row r="82" spans="1:14" x14ac:dyDescent="0.25">
      <c r="A82">
        <v>456</v>
      </c>
      <c r="C82" t="s">
        <v>15</v>
      </c>
      <c r="D82">
        <v>4025</v>
      </c>
      <c r="E82">
        <v>43525</v>
      </c>
      <c r="F82" t="s">
        <v>6</v>
      </c>
      <c r="G82" t="s">
        <v>7</v>
      </c>
      <c r="H82" s="10">
        <v>4243</v>
      </c>
      <c r="I82">
        <v>4746</v>
      </c>
      <c r="J82" s="5"/>
      <c r="K82" s="5" t="str">
        <f>IF(fContabilidade[[#This Row],[P. Unitário]]&gt;2,"Verificar","")</f>
        <v/>
      </c>
      <c r="L82" s="5"/>
      <c r="M82" s="5"/>
      <c r="N82" s="5"/>
    </row>
    <row r="83" spans="1:14" x14ac:dyDescent="0.25">
      <c r="A83">
        <v>327</v>
      </c>
      <c r="C83" t="s">
        <v>8</v>
      </c>
      <c r="D83">
        <v>1320</v>
      </c>
      <c r="E83">
        <v>43497</v>
      </c>
      <c r="F83" t="s">
        <v>9</v>
      </c>
      <c r="G83" t="s">
        <v>10</v>
      </c>
      <c r="H83" s="10">
        <v>4431</v>
      </c>
      <c r="I83">
        <v>4023</v>
      </c>
      <c r="J83" s="5"/>
      <c r="K83" s="5" t="str">
        <f>IF(fContabilidade[[#This Row],[P. Unitário]]&gt;2,"Verificar","")</f>
        <v/>
      </c>
      <c r="L83" s="5"/>
      <c r="M83" s="5"/>
      <c r="N83" s="5"/>
    </row>
    <row r="84" spans="1:14" x14ac:dyDescent="0.25">
      <c r="A84">
        <v>20</v>
      </c>
      <c r="C84" t="s">
        <v>11</v>
      </c>
      <c r="D84">
        <v>4988</v>
      </c>
      <c r="E84">
        <v>43466</v>
      </c>
      <c r="F84" t="s">
        <v>12</v>
      </c>
      <c r="G84" t="s">
        <v>13</v>
      </c>
      <c r="H84" s="10">
        <v>41705</v>
      </c>
      <c r="I84">
        <v>2580</v>
      </c>
      <c r="J84" s="5"/>
      <c r="K84" s="5" t="str">
        <f>IF(fContabilidade[[#This Row],[P. Unitário]]&gt;2,"Verificar","")</f>
        <v/>
      </c>
      <c r="L84" s="5"/>
      <c r="M84" s="5"/>
      <c r="N84" s="5"/>
    </row>
    <row r="85" spans="1:14" x14ac:dyDescent="0.25">
      <c r="A85">
        <v>327</v>
      </c>
      <c r="C85" t="s">
        <v>11</v>
      </c>
      <c r="D85">
        <v>4634</v>
      </c>
      <c r="E85">
        <v>43525</v>
      </c>
      <c r="F85" t="s">
        <v>12</v>
      </c>
      <c r="G85" t="s">
        <v>14</v>
      </c>
      <c r="H85" s="10">
        <v>4895</v>
      </c>
      <c r="I85">
        <v>4992</v>
      </c>
      <c r="J85" s="5"/>
      <c r="K85" s="5" t="str">
        <f>IF(fContabilidade[[#This Row],[P. Unitário]]&gt;2,"Verificar","")</f>
        <v/>
      </c>
      <c r="L85" s="5"/>
      <c r="M85" s="5"/>
      <c r="N85" s="5"/>
    </row>
    <row r="86" spans="1:14" x14ac:dyDescent="0.25">
      <c r="A86">
        <v>327</v>
      </c>
      <c r="C86" t="s">
        <v>8</v>
      </c>
      <c r="D86">
        <v>4350</v>
      </c>
      <c r="E86">
        <v>43556</v>
      </c>
      <c r="F86" t="s">
        <v>6</v>
      </c>
      <c r="G86" t="s">
        <v>7</v>
      </c>
      <c r="H86" s="10">
        <v>3712</v>
      </c>
      <c r="I86">
        <v>2481</v>
      </c>
      <c r="J86" s="5"/>
      <c r="K86" s="5" t="str">
        <f>IF(fContabilidade[[#This Row],[P. Unitário]]&gt;2,"Verificar","")</f>
        <v/>
      </c>
      <c r="L86" s="5"/>
      <c r="M86" s="5"/>
      <c r="N86" s="5"/>
    </row>
    <row r="87" spans="1:14" x14ac:dyDescent="0.25">
      <c r="A87">
        <v>456</v>
      </c>
      <c r="C87" t="s">
        <v>15</v>
      </c>
      <c r="D87">
        <v>3676</v>
      </c>
      <c r="E87">
        <v>43525</v>
      </c>
      <c r="F87" t="s">
        <v>9</v>
      </c>
      <c r="G87" t="s">
        <v>10</v>
      </c>
      <c r="H87" s="10">
        <v>3046</v>
      </c>
      <c r="I87">
        <v>2770</v>
      </c>
      <c r="J87" s="5"/>
      <c r="K87" s="5" t="str">
        <f>IF(fContabilidade[[#This Row],[P. Unitário]]&gt;2,"Verificar","")</f>
        <v/>
      </c>
      <c r="L87" s="5"/>
      <c r="M87" s="5"/>
      <c r="N87" s="5"/>
    </row>
    <row r="88" spans="1:14" x14ac:dyDescent="0.25">
      <c r="A88">
        <v>456</v>
      </c>
      <c r="C88" t="s">
        <v>8</v>
      </c>
      <c r="D88">
        <v>1206</v>
      </c>
      <c r="E88">
        <v>43556</v>
      </c>
      <c r="F88" t="s">
        <v>9</v>
      </c>
      <c r="G88" t="s">
        <v>13</v>
      </c>
      <c r="H88" s="10">
        <v>2180</v>
      </c>
      <c r="I88">
        <v>3799</v>
      </c>
      <c r="J88" s="5"/>
      <c r="K88" s="5" t="str">
        <f>IF(fContabilidade[[#This Row],[P. Unitário]]&gt;2,"Verificar","")</f>
        <v/>
      </c>
      <c r="L88" s="5"/>
      <c r="M88" s="5"/>
      <c r="N88" s="5"/>
    </row>
    <row r="89" spans="1:14" x14ac:dyDescent="0.25">
      <c r="A89">
        <v>456</v>
      </c>
      <c r="C89" t="s">
        <v>15</v>
      </c>
      <c r="D89">
        <v>3264</v>
      </c>
      <c r="E89">
        <v>43497</v>
      </c>
      <c r="F89" t="s">
        <v>16</v>
      </c>
      <c r="G89" t="s">
        <v>14</v>
      </c>
      <c r="H89" s="10">
        <v>2414</v>
      </c>
      <c r="I89">
        <v>2775</v>
      </c>
      <c r="J89" s="5"/>
      <c r="K89" s="5" t="str">
        <f>IF(fContabilidade[[#This Row],[P. Unitário]]&gt;2,"Verificar","")</f>
        <v/>
      </c>
      <c r="L89" s="5"/>
      <c r="M89" s="5"/>
      <c r="N89" s="5"/>
    </row>
    <row r="90" spans="1:14" x14ac:dyDescent="0.25">
      <c r="A90">
        <v>20</v>
      </c>
      <c r="C90" t="s">
        <v>8</v>
      </c>
      <c r="D90">
        <v>4823</v>
      </c>
      <c r="E90">
        <v>43466</v>
      </c>
      <c r="F90" t="s">
        <v>16</v>
      </c>
      <c r="G90" t="s">
        <v>7</v>
      </c>
      <c r="H90" s="10">
        <v>4851</v>
      </c>
      <c r="I90">
        <v>4643</v>
      </c>
      <c r="J90" s="5"/>
      <c r="K90" s="5" t="str">
        <f>IF(fContabilidade[[#This Row],[P. Unitário]]&gt;2,"Verificar","")</f>
        <v/>
      </c>
      <c r="L90" s="5"/>
      <c r="M90" s="5"/>
      <c r="N90" s="5"/>
    </row>
    <row r="91" spans="1:14" x14ac:dyDescent="0.25">
      <c r="A91">
        <v>20</v>
      </c>
      <c r="C91" t="s">
        <v>11</v>
      </c>
      <c r="D91">
        <v>1453</v>
      </c>
      <c r="E91">
        <v>43525</v>
      </c>
      <c r="F91" t="s">
        <v>17</v>
      </c>
      <c r="G91" t="s">
        <v>10</v>
      </c>
      <c r="H91" s="10">
        <v>1816</v>
      </c>
      <c r="I91">
        <v>4520</v>
      </c>
      <c r="J91" s="5"/>
      <c r="K91" s="5" t="str">
        <f>IF(fContabilidade[[#This Row],[P. Unitário]]&gt;2,"Verificar","")</f>
        <v/>
      </c>
      <c r="L91" s="5"/>
      <c r="M91" s="5"/>
      <c r="N91" s="5"/>
    </row>
    <row r="92" spans="1:14" x14ac:dyDescent="0.25">
      <c r="A92">
        <v>456</v>
      </c>
      <c r="C92" t="s">
        <v>15</v>
      </c>
      <c r="D92">
        <v>1720</v>
      </c>
      <c r="E92">
        <v>43525</v>
      </c>
      <c r="F92" t="s">
        <v>17</v>
      </c>
      <c r="G92" t="s">
        <v>13</v>
      </c>
      <c r="H92" s="10">
        <v>3260</v>
      </c>
      <c r="I92">
        <v>2772</v>
      </c>
      <c r="J92" s="5"/>
      <c r="K92" s="5" t="str">
        <f>IF(fContabilidade[[#This Row],[P. Unitário]]&gt;2,"Verificar","")</f>
        <v/>
      </c>
      <c r="L92" s="5"/>
      <c r="M92" s="5"/>
      <c r="N92" s="5"/>
    </row>
    <row r="93" spans="1:14" x14ac:dyDescent="0.25">
      <c r="A93">
        <v>456</v>
      </c>
      <c r="C93" t="s">
        <v>15</v>
      </c>
      <c r="D93">
        <v>3129</v>
      </c>
      <c r="E93">
        <v>43497</v>
      </c>
      <c r="F93" t="s">
        <v>6</v>
      </c>
      <c r="G93" t="s">
        <v>14</v>
      </c>
      <c r="H93" s="10">
        <v>2694</v>
      </c>
      <c r="I93">
        <v>3171</v>
      </c>
      <c r="J93" s="5"/>
      <c r="K93" s="5" t="str">
        <f>IF(fContabilidade[[#This Row],[P. Unitário]]&gt;2,"Verificar","")</f>
        <v/>
      </c>
      <c r="L93" s="5"/>
      <c r="M93" s="5"/>
      <c r="N93" s="5"/>
    </row>
    <row r="94" spans="1:14" x14ac:dyDescent="0.25">
      <c r="A94">
        <v>327</v>
      </c>
      <c r="C94" t="s">
        <v>15</v>
      </c>
      <c r="D94">
        <v>3368</v>
      </c>
      <c r="E94">
        <v>43466</v>
      </c>
      <c r="F94" t="s">
        <v>9</v>
      </c>
      <c r="G94" t="s">
        <v>7</v>
      </c>
      <c r="H94" s="10">
        <v>4621</v>
      </c>
      <c r="I94">
        <v>3796</v>
      </c>
      <c r="J94" s="5"/>
      <c r="K94" s="5" t="str">
        <f>IF(fContabilidade[[#This Row],[P. Unitário]]&gt;2,"Verificar","")</f>
        <v/>
      </c>
      <c r="L94" s="5"/>
      <c r="M94" s="5"/>
      <c r="N94" s="5"/>
    </row>
    <row r="95" spans="1:14" x14ac:dyDescent="0.25">
      <c r="A95">
        <v>327</v>
      </c>
      <c r="C95" t="s">
        <v>8</v>
      </c>
      <c r="D95">
        <v>4187</v>
      </c>
      <c r="E95">
        <v>43525</v>
      </c>
      <c r="F95" t="s">
        <v>12</v>
      </c>
      <c r="G95" t="s">
        <v>10</v>
      </c>
      <c r="H95" s="10">
        <v>1411</v>
      </c>
      <c r="I95">
        <v>4680</v>
      </c>
      <c r="J95" s="5"/>
      <c r="K95" s="5" t="str">
        <f>IF(fContabilidade[[#This Row],[P. Unitário]]&gt;2,"Verificar","")</f>
        <v/>
      </c>
      <c r="L95" s="5"/>
      <c r="M95" s="5"/>
      <c r="N95" s="5"/>
    </row>
    <row r="96" spans="1:14" x14ac:dyDescent="0.25">
      <c r="A96">
        <v>20</v>
      </c>
      <c r="C96" t="s">
        <v>11</v>
      </c>
      <c r="D96">
        <v>1570</v>
      </c>
      <c r="E96">
        <v>43556</v>
      </c>
      <c r="F96" t="s">
        <v>6</v>
      </c>
      <c r="G96" t="s">
        <v>13</v>
      </c>
      <c r="H96" s="10">
        <v>30170</v>
      </c>
      <c r="I96">
        <v>4467</v>
      </c>
      <c r="J96" s="5"/>
      <c r="K96" s="5" t="str">
        <f>IF(fContabilidade[[#This Row],[P. Unitário]]&gt;2,"Verificar","")</f>
        <v/>
      </c>
      <c r="L96" s="5"/>
      <c r="M96" s="5"/>
      <c r="N96" s="5"/>
    </row>
    <row r="97" spans="1:14" x14ac:dyDescent="0.25">
      <c r="A97">
        <v>456</v>
      </c>
      <c r="C97" t="s">
        <v>11</v>
      </c>
      <c r="D97">
        <v>2363</v>
      </c>
      <c r="E97">
        <v>43525</v>
      </c>
      <c r="F97" t="s">
        <v>9</v>
      </c>
      <c r="G97" t="s">
        <v>14</v>
      </c>
      <c r="H97" s="10">
        <v>3756</v>
      </c>
      <c r="I97">
        <v>3054</v>
      </c>
      <c r="J97" s="5"/>
      <c r="K97" s="5" t="str">
        <f>IF(fContabilidade[[#This Row],[P. Unitário]]&gt;2,"Verificar","")</f>
        <v/>
      </c>
      <c r="L97" s="5"/>
      <c r="M97" s="5"/>
      <c r="N97" s="5"/>
    </row>
    <row r="98" spans="1:14" x14ac:dyDescent="0.25">
      <c r="A98">
        <v>456</v>
      </c>
      <c r="C98" t="s">
        <v>8</v>
      </c>
      <c r="D98">
        <v>2344</v>
      </c>
      <c r="E98">
        <v>43556</v>
      </c>
      <c r="F98" t="s">
        <v>12</v>
      </c>
      <c r="G98" t="s">
        <v>7</v>
      </c>
      <c r="H98" s="10">
        <v>4814</v>
      </c>
      <c r="I98">
        <v>4661</v>
      </c>
      <c r="J98" s="5"/>
      <c r="K98" s="5" t="str">
        <f>IF(fContabilidade[[#This Row],[P. Unitário]]&gt;2,"Verificar","")</f>
        <v/>
      </c>
      <c r="L98" s="5"/>
      <c r="M98" s="5"/>
      <c r="N98" s="5"/>
    </row>
    <row r="99" spans="1:14" x14ac:dyDescent="0.25">
      <c r="A99">
        <v>456</v>
      </c>
      <c r="C99" t="s">
        <v>15</v>
      </c>
      <c r="D99">
        <v>3899</v>
      </c>
      <c r="E99">
        <v>43497</v>
      </c>
      <c r="F99" t="s">
        <v>12</v>
      </c>
      <c r="G99" t="s">
        <v>10</v>
      </c>
      <c r="H99" s="10">
        <v>3432</v>
      </c>
      <c r="I99">
        <v>4941</v>
      </c>
      <c r="J99" s="5"/>
      <c r="K99" s="5" t="str">
        <f>IF(fContabilidade[[#This Row],[P. Unitário]]&gt;2,"Verificar","")</f>
        <v/>
      </c>
      <c r="L99" s="5"/>
      <c r="M99" s="5"/>
      <c r="N99" s="5"/>
    </row>
  </sheetData>
  <pageMargins left="0.511811024" right="0.511811024" top="0.78740157499999996" bottom="0.78740157499999996" header="0.31496062000000002" footer="0.31496062000000002"/>
  <legacy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3EB1-01F9-48B4-89B4-1140E88DF952}">
  <sheetPr codeName="Planilha3"/>
  <dimension ref="A1:H6"/>
  <sheetViews>
    <sheetView showGridLines="0" zoomScale="130" zoomScaleNormal="130" workbookViewId="0">
      <selection activeCell="H1" sqref="H1"/>
    </sheetView>
  </sheetViews>
  <sheetFormatPr defaultRowHeight="13.5" x14ac:dyDescent="0.25"/>
  <cols>
    <col min="1" max="2" width="19" customWidth="1"/>
    <col min="3" max="3" width="3.83203125" customWidth="1"/>
    <col min="4" max="4" width="13.75" bestFit="1" customWidth="1"/>
    <col min="5" max="5" width="3.83203125" customWidth="1"/>
    <col min="6" max="6" width="9.9140625" bestFit="1" customWidth="1"/>
    <col min="7" max="7" width="3.83203125" customWidth="1"/>
    <col min="8" max="8" width="13.1640625" customWidth="1"/>
  </cols>
  <sheetData>
    <row r="1" spans="1:8" ht="14" x14ac:dyDescent="0.3">
      <c r="A1" s="3" t="s">
        <v>28</v>
      </c>
      <c r="B1" t="s">
        <v>27</v>
      </c>
      <c r="D1" t="s">
        <v>30</v>
      </c>
      <c r="F1" s="7" t="s">
        <v>31</v>
      </c>
      <c r="H1" t="s">
        <v>32</v>
      </c>
    </row>
    <row r="2" spans="1:8" x14ac:dyDescent="0.25">
      <c r="A2" s="2">
        <v>456</v>
      </c>
      <c r="B2" t="s">
        <v>18</v>
      </c>
      <c r="D2" t="s">
        <v>15</v>
      </c>
      <c r="F2" s="2" t="s">
        <v>6</v>
      </c>
      <c r="H2" s="2" t="s">
        <v>7</v>
      </c>
    </row>
    <row r="3" spans="1:8" x14ac:dyDescent="0.25">
      <c r="A3" s="2">
        <v>327</v>
      </c>
      <c r="B3" t="s">
        <v>19</v>
      </c>
      <c r="D3" t="s">
        <v>8</v>
      </c>
      <c r="F3" s="2" t="s">
        <v>9</v>
      </c>
      <c r="H3" s="2" t="s">
        <v>10</v>
      </c>
    </row>
    <row r="4" spans="1:8" x14ac:dyDescent="0.25">
      <c r="A4" s="2">
        <v>20</v>
      </c>
      <c r="B4" t="s">
        <v>20</v>
      </c>
      <c r="D4" t="s">
        <v>11</v>
      </c>
      <c r="F4" s="2" t="s">
        <v>12</v>
      </c>
      <c r="H4" s="2" t="s">
        <v>13</v>
      </c>
    </row>
    <row r="5" spans="1:8" x14ac:dyDescent="0.25">
      <c r="F5" s="2" t="s">
        <v>16</v>
      </c>
      <c r="H5" s="2" t="s">
        <v>14</v>
      </c>
    </row>
    <row r="6" spans="1:8" x14ac:dyDescent="0.25">
      <c r="F6" s="2" t="s">
        <v>17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Relatório</vt:lpstr>
      <vt:lpstr>Configs</vt:lpstr>
      <vt:lpstr>CLIENTES</vt:lpstr>
      <vt:lpstr>FILIAIS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emanuel quintino</cp:lastModifiedBy>
  <dcterms:created xsi:type="dcterms:W3CDTF">2020-06-28T01:45:53Z</dcterms:created>
  <dcterms:modified xsi:type="dcterms:W3CDTF">2025-12-03T22:23:10Z</dcterms:modified>
</cp:coreProperties>
</file>